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C6\EXCELCNV\e2c7491d-9357-47e3-a4eb-da648475a539\"/>
    </mc:Choice>
  </mc:AlternateContent>
  <xr:revisionPtr revIDLastSave="2049" documentId="8_{AFBCA2A7-4B6F-465E-9368-CBDB4C90E43C}" xr6:coauthVersionLast="47" xr6:coauthVersionMax="47" xr10:uidLastSave="{9BBD4985-3AA3-4FDA-BB05-2CCBABB3E899}"/>
  <bookViews>
    <workbookView xWindow="-60" yWindow="-60" windowWidth="15480" windowHeight="11640" firstSheet="2" activeTab="2" xr2:uid="{C053FCE4-1A55-490F-B427-56C3C75AE9F3}"/>
  </bookViews>
  <sheets>
    <sheet name="base" sheetId="1" state="hidden" r:id="rId1"/>
    <sheet name="calculo" sheetId="2" state="hidden" r:id="rId2"/>
    <sheet name="dashboard" sheetId="3" r:id="rId3"/>
  </sheets>
  <definedNames>
    <definedName name="SegmentaçãodeDados_Country">#N/A</definedName>
    <definedName name="SegmentaçãodeDados_Region">#N/A</definedName>
  </definedNames>
  <calcPr calcId="191028"/>
  <pivotCaches>
    <pivotCache cacheId="445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2" i="1"/>
  <c r="D5" i="2"/>
  <c r="E29" i="2"/>
  <c r="E28" i="2"/>
  <c r="E27" i="2"/>
  <c r="E25" i="2"/>
  <c r="E26" i="2"/>
  <c r="E24" i="2"/>
  <c r="E23" i="2"/>
  <c r="E22" i="2"/>
  <c r="E20" i="2"/>
  <c r="E21" i="2"/>
  <c r="E14" i="2"/>
  <c r="E15" i="2"/>
  <c r="E16" i="2"/>
  <c r="E17" i="2"/>
  <c r="E18" i="2"/>
  <c r="E19" i="2"/>
  <c r="E13" i="2"/>
  <c r="E7" i="2"/>
  <c r="E8" i="2"/>
  <c r="E9" i="2"/>
  <c r="E10" i="2"/>
  <c r="E11" i="2"/>
  <c r="E12" i="2"/>
  <c r="E6" i="2"/>
  <c r="E5" i="2"/>
  <c r="D29" i="2"/>
  <c r="D28" i="2"/>
  <c r="D27" i="2"/>
  <c r="D25" i="2"/>
  <c r="D26" i="2"/>
  <c r="Y2" i="1" s="1"/>
  <c r="D24" i="2"/>
  <c r="D23" i="2"/>
  <c r="D22" i="2"/>
  <c r="D14" i="2"/>
  <c r="D15" i="2"/>
  <c r="D16" i="2"/>
  <c r="D17" i="2"/>
  <c r="D18" i="2"/>
  <c r="D19" i="2"/>
  <c r="D20" i="2"/>
  <c r="D21" i="2"/>
  <c r="D13" i="2"/>
  <c r="D7" i="2"/>
  <c r="D8" i="2"/>
  <c r="D9" i="2"/>
  <c r="D10" i="2"/>
  <c r="D11" i="2"/>
  <c r="D12" i="2"/>
  <c r="D6" i="2"/>
  <c r="E3" i="1"/>
  <c r="AA3" i="1" s="1"/>
  <c r="E4" i="1"/>
  <c r="AA4" i="1" s="1"/>
  <c r="E5" i="1"/>
  <c r="AA5" i="1" s="1"/>
  <c r="E6" i="1"/>
  <c r="AA6" i="1" s="1"/>
  <c r="E7" i="1"/>
  <c r="AA7" i="1" s="1"/>
  <c r="E8" i="1"/>
  <c r="AA8" i="1" s="1"/>
  <c r="E9" i="1"/>
  <c r="AA9" i="1" s="1"/>
  <c r="E10" i="1"/>
  <c r="AA10" i="1" s="1"/>
  <c r="E11" i="1"/>
  <c r="AA11" i="1" s="1"/>
  <c r="E12" i="1"/>
  <c r="AA12" i="1" s="1"/>
  <c r="E13" i="1"/>
  <c r="AA13" i="1" s="1"/>
  <c r="E14" i="1"/>
  <c r="AA14" i="1" s="1"/>
  <c r="E15" i="1"/>
  <c r="AA15" i="1" s="1"/>
  <c r="E16" i="1"/>
  <c r="AA16" i="1" s="1"/>
  <c r="E17" i="1"/>
  <c r="AA17" i="1" s="1"/>
  <c r="E18" i="1"/>
  <c r="AA18" i="1" s="1"/>
  <c r="E19" i="1"/>
  <c r="AA19" i="1" s="1"/>
  <c r="E20" i="1"/>
  <c r="AA20" i="1" s="1"/>
  <c r="E21" i="1"/>
  <c r="AA21" i="1" s="1"/>
  <c r="E22" i="1"/>
  <c r="AA22" i="1" s="1"/>
  <c r="E23" i="1"/>
  <c r="AA23" i="1" s="1"/>
  <c r="E24" i="1"/>
  <c r="AA24" i="1" s="1"/>
  <c r="E25" i="1"/>
  <c r="AA25" i="1" s="1"/>
  <c r="E26" i="1"/>
  <c r="AA26" i="1" s="1"/>
  <c r="E27" i="1"/>
  <c r="AA27" i="1" s="1"/>
  <c r="E28" i="1"/>
  <c r="AA28" i="1" s="1"/>
  <c r="E29" i="1"/>
  <c r="AA29" i="1" s="1"/>
  <c r="E30" i="1"/>
  <c r="AA30" i="1" s="1"/>
  <c r="E31" i="1"/>
  <c r="AA31" i="1" s="1"/>
  <c r="E32" i="1"/>
  <c r="AA32" i="1" s="1"/>
  <c r="E33" i="1"/>
  <c r="AA33" i="1" s="1"/>
  <c r="E34" i="1"/>
  <c r="AA34" i="1" s="1"/>
  <c r="E35" i="1"/>
  <c r="AA35" i="1" s="1"/>
  <c r="E36" i="1"/>
  <c r="AA36" i="1" s="1"/>
  <c r="E37" i="1"/>
  <c r="AA37" i="1" s="1"/>
  <c r="E38" i="1"/>
  <c r="AA38" i="1" s="1"/>
  <c r="E39" i="1"/>
  <c r="AA39" i="1" s="1"/>
  <c r="E40" i="1"/>
  <c r="AA40" i="1" s="1"/>
  <c r="E41" i="1"/>
  <c r="AA41" i="1" s="1"/>
  <c r="E42" i="1"/>
  <c r="AA42" i="1" s="1"/>
  <c r="E43" i="1"/>
  <c r="AA43" i="1" s="1"/>
  <c r="E44" i="1"/>
  <c r="AA44" i="1" s="1"/>
  <c r="E45" i="1"/>
  <c r="AA45" i="1" s="1"/>
  <c r="E46" i="1"/>
  <c r="AA46" i="1" s="1"/>
  <c r="E47" i="1"/>
  <c r="AA47" i="1" s="1"/>
  <c r="E48" i="1"/>
  <c r="AA48" i="1" s="1"/>
  <c r="E49" i="1"/>
  <c r="AA49" i="1" s="1"/>
  <c r="E50" i="1"/>
  <c r="AA50" i="1" s="1"/>
  <c r="E51" i="1"/>
  <c r="AA51" i="1" s="1"/>
  <c r="E52" i="1"/>
  <c r="AA52" i="1" s="1"/>
  <c r="E53" i="1"/>
  <c r="AA53" i="1" s="1"/>
  <c r="E54" i="1"/>
  <c r="AA54" i="1" s="1"/>
  <c r="E55" i="1"/>
  <c r="AA55" i="1" s="1"/>
  <c r="E56" i="1"/>
  <c r="AA56" i="1" s="1"/>
  <c r="E57" i="1"/>
  <c r="AA57" i="1" s="1"/>
  <c r="E58" i="1"/>
  <c r="AA58" i="1" s="1"/>
  <c r="E59" i="1"/>
  <c r="AA59" i="1" s="1"/>
  <c r="E60" i="1"/>
  <c r="AA60" i="1" s="1"/>
  <c r="E61" i="1"/>
  <c r="AA61" i="1" s="1"/>
  <c r="E62" i="1"/>
  <c r="AA62" i="1" s="1"/>
  <c r="E63" i="1"/>
  <c r="AA63" i="1" s="1"/>
  <c r="E64" i="1"/>
  <c r="AA64" i="1" s="1"/>
  <c r="E65" i="1"/>
  <c r="AA65" i="1" s="1"/>
  <c r="E66" i="1"/>
  <c r="AA66" i="1" s="1"/>
  <c r="E67" i="1"/>
  <c r="AA67" i="1" s="1"/>
  <c r="E68" i="1"/>
  <c r="AA68" i="1" s="1"/>
  <c r="E69" i="1"/>
  <c r="AA69" i="1" s="1"/>
  <c r="E70" i="1"/>
  <c r="AA70" i="1" s="1"/>
  <c r="E71" i="1"/>
  <c r="AA71" i="1" s="1"/>
  <c r="E72" i="1"/>
  <c r="AA72" i="1" s="1"/>
  <c r="E73" i="1"/>
  <c r="AA73" i="1" s="1"/>
  <c r="E74" i="1"/>
  <c r="AA74" i="1" s="1"/>
  <c r="E75" i="1"/>
  <c r="AA75" i="1" s="1"/>
  <c r="E76" i="1"/>
  <c r="AA76" i="1" s="1"/>
  <c r="E77" i="1"/>
  <c r="AA77" i="1" s="1"/>
  <c r="E78" i="1"/>
  <c r="AA78" i="1" s="1"/>
  <c r="E79" i="1"/>
  <c r="AA79" i="1" s="1"/>
  <c r="E80" i="1"/>
  <c r="AA80" i="1" s="1"/>
  <c r="E81" i="1"/>
  <c r="AA81" i="1" s="1"/>
  <c r="E82" i="1"/>
  <c r="AA82" i="1" s="1"/>
  <c r="E83" i="1"/>
  <c r="AA83" i="1" s="1"/>
  <c r="E84" i="1"/>
  <c r="AA84" i="1" s="1"/>
  <c r="E85" i="1"/>
  <c r="AA85" i="1" s="1"/>
  <c r="E86" i="1"/>
  <c r="AA86" i="1" s="1"/>
  <c r="E87" i="1"/>
  <c r="AA87" i="1" s="1"/>
  <c r="E88" i="1"/>
  <c r="AA88" i="1" s="1"/>
  <c r="E89" i="1"/>
  <c r="AA89" i="1" s="1"/>
  <c r="E90" i="1"/>
  <c r="AA90" i="1" s="1"/>
  <c r="E91" i="1"/>
  <c r="AA91" i="1" s="1"/>
  <c r="E92" i="1"/>
  <c r="AA92" i="1" s="1"/>
  <c r="E93" i="1"/>
  <c r="AA93" i="1" s="1"/>
  <c r="E94" i="1"/>
  <c r="AA94" i="1" s="1"/>
  <c r="E95" i="1"/>
  <c r="AA95" i="1" s="1"/>
  <c r="E96" i="1"/>
  <c r="AA96" i="1" s="1"/>
  <c r="E97" i="1"/>
  <c r="AA97" i="1" s="1"/>
  <c r="E98" i="1"/>
  <c r="AA98" i="1" s="1"/>
  <c r="E99" i="1"/>
  <c r="AA99" i="1" s="1"/>
  <c r="E100" i="1"/>
  <c r="AA100" i="1" s="1"/>
  <c r="E101" i="1"/>
  <c r="AA101" i="1" s="1"/>
  <c r="E102" i="1"/>
  <c r="AA102" i="1" s="1"/>
  <c r="E103" i="1"/>
  <c r="AA103" i="1" s="1"/>
  <c r="E104" i="1"/>
  <c r="AA104" i="1" s="1"/>
  <c r="E105" i="1"/>
  <c r="AA105" i="1" s="1"/>
  <c r="E106" i="1"/>
  <c r="AA106" i="1" s="1"/>
  <c r="E107" i="1"/>
  <c r="AA107" i="1" s="1"/>
  <c r="E108" i="1"/>
  <c r="AA108" i="1" s="1"/>
  <c r="E109" i="1"/>
  <c r="AA109" i="1" s="1"/>
  <c r="E110" i="1"/>
  <c r="AA110" i="1" s="1"/>
  <c r="E111" i="1"/>
  <c r="AA111" i="1" s="1"/>
  <c r="E112" i="1"/>
  <c r="AA112" i="1" s="1"/>
  <c r="E113" i="1"/>
  <c r="AA113" i="1" s="1"/>
  <c r="E114" i="1"/>
  <c r="AA114" i="1" s="1"/>
  <c r="E115" i="1"/>
  <c r="AA115" i="1" s="1"/>
  <c r="E116" i="1"/>
  <c r="AA116" i="1" s="1"/>
  <c r="E117" i="1"/>
  <c r="AA117" i="1" s="1"/>
  <c r="E118" i="1"/>
  <c r="AA118" i="1" s="1"/>
  <c r="E119" i="1"/>
  <c r="AA119" i="1" s="1"/>
  <c r="E120" i="1"/>
  <c r="AA120" i="1" s="1"/>
  <c r="E121" i="1"/>
  <c r="AA121" i="1" s="1"/>
  <c r="E122" i="1"/>
  <c r="AA122" i="1" s="1"/>
  <c r="E123" i="1"/>
  <c r="AA123" i="1" s="1"/>
  <c r="E124" i="1"/>
  <c r="AA124" i="1" s="1"/>
  <c r="E125" i="1"/>
  <c r="AA125" i="1" s="1"/>
  <c r="E126" i="1"/>
  <c r="AA126" i="1" s="1"/>
  <c r="E127" i="1"/>
  <c r="AA127" i="1" s="1"/>
  <c r="E128" i="1"/>
  <c r="AA128" i="1" s="1"/>
  <c r="E129" i="1"/>
  <c r="AA129" i="1" s="1"/>
  <c r="E130" i="1"/>
  <c r="AA130" i="1" s="1"/>
  <c r="E131" i="1"/>
  <c r="AA131" i="1" s="1"/>
  <c r="E132" i="1"/>
  <c r="AA132" i="1" s="1"/>
  <c r="E133" i="1"/>
  <c r="AA133" i="1" s="1"/>
  <c r="E134" i="1"/>
  <c r="AA134" i="1" s="1"/>
  <c r="E135" i="1"/>
  <c r="AA135" i="1" s="1"/>
  <c r="E136" i="1"/>
  <c r="AA136" i="1" s="1"/>
  <c r="E137" i="1"/>
  <c r="AA137" i="1" s="1"/>
  <c r="E138" i="1"/>
  <c r="AA138" i="1" s="1"/>
  <c r="E139" i="1"/>
  <c r="AA139" i="1" s="1"/>
  <c r="E140" i="1"/>
  <c r="AA140" i="1" s="1"/>
  <c r="E141" i="1"/>
  <c r="AA141" i="1" s="1"/>
  <c r="E142" i="1"/>
  <c r="AA142" i="1" s="1"/>
  <c r="E143" i="1"/>
  <c r="AA143" i="1" s="1"/>
  <c r="E144" i="1"/>
  <c r="AA144" i="1" s="1"/>
  <c r="E145" i="1"/>
  <c r="AA145" i="1" s="1"/>
  <c r="E146" i="1"/>
  <c r="AA146" i="1" s="1"/>
  <c r="E147" i="1"/>
  <c r="AA147" i="1" s="1"/>
  <c r="E148" i="1"/>
  <c r="AA148" i="1" s="1"/>
  <c r="E149" i="1"/>
  <c r="AA149" i="1" s="1"/>
  <c r="E150" i="1"/>
  <c r="AA150" i="1" s="1"/>
  <c r="E151" i="1"/>
  <c r="AA151" i="1" s="1"/>
  <c r="E152" i="1"/>
  <c r="AA152" i="1" s="1"/>
  <c r="E153" i="1"/>
  <c r="AA153" i="1" s="1"/>
  <c r="E154" i="1"/>
  <c r="AA154" i="1" s="1"/>
  <c r="E155" i="1"/>
  <c r="AA155" i="1" s="1"/>
  <c r="E156" i="1"/>
  <c r="AA156" i="1" s="1"/>
  <c r="E157" i="1"/>
  <c r="AA157" i="1" s="1"/>
  <c r="E158" i="1"/>
  <c r="AA158" i="1" s="1"/>
  <c r="E159" i="1"/>
  <c r="AA159" i="1" s="1"/>
  <c r="E160" i="1"/>
  <c r="AA160" i="1" s="1"/>
  <c r="E161" i="1"/>
  <c r="AA161" i="1" s="1"/>
  <c r="E162" i="1"/>
  <c r="AA162" i="1" s="1"/>
  <c r="E163" i="1"/>
  <c r="AA163" i="1" s="1"/>
  <c r="E164" i="1"/>
  <c r="AA164" i="1" s="1"/>
  <c r="E165" i="1"/>
  <c r="AA165" i="1" s="1"/>
  <c r="E166" i="1"/>
  <c r="AA166" i="1" s="1"/>
  <c r="E167" i="1"/>
  <c r="AA167" i="1" s="1"/>
  <c r="E168" i="1"/>
  <c r="AA168" i="1" s="1"/>
  <c r="E169" i="1"/>
  <c r="AA169" i="1" s="1"/>
  <c r="E170" i="1"/>
  <c r="AA170" i="1" s="1"/>
  <c r="E171" i="1"/>
  <c r="AA171" i="1" s="1"/>
  <c r="E172" i="1"/>
  <c r="AA172" i="1" s="1"/>
  <c r="E173" i="1"/>
  <c r="AA173" i="1" s="1"/>
  <c r="E174" i="1"/>
  <c r="AA174" i="1" s="1"/>
  <c r="E175" i="1"/>
  <c r="AA175" i="1" s="1"/>
  <c r="E176" i="1"/>
  <c r="AA176" i="1" s="1"/>
  <c r="E177" i="1"/>
  <c r="AA177" i="1" s="1"/>
  <c r="E178" i="1"/>
  <c r="AA178" i="1" s="1"/>
  <c r="E179" i="1"/>
  <c r="AA179" i="1" s="1"/>
  <c r="E180" i="1"/>
  <c r="AA180" i="1" s="1"/>
  <c r="E181" i="1"/>
  <c r="AA181" i="1" s="1"/>
  <c r="E182" i="1"/>
  <c r="AA182" i="1" s="1"/>
  <c r="E183" i="1"/>
  <c r="AA183" i="1" s="1"/>
  <c r="E184" i="1"/>
  <c r="AA184" i="1" s="1"/>
  <c r="E185" i="1"/>
  <c r="AA185" i="1" s="1"/>
  <c r="E186" i="1"/>
  <c r="AA186" i="1" s="1"/>
  <c r="E187" i="1"/>
  <c r="AA187" i="1" s="1"/>
  <c r="E188" i="1"/>
  <c r="AA188" i="1" s="1"/>
  <c r="E189" i="1"/>
  <c r="AA189" i="1" s="1"/>
  <c r="E190" i="1"/>
  <c r="AA190" i="1" s="1"/>
  <c r="E191" i="1"/>
  <c r="AA191" i="1" s="1"/>
  <c r="E192" i="1"/>
  <c r="AA192" i="1" s="1"/>
  <c r="E193" i="1"/>
  <c r="AA193" i="1" s="1"/>
  <c r="E194" i="1"/>
  <c r="AA194" i="1" s="1"/>
  <c r="E195" i="1"/>
  <c r="AA195" i="1" s="1"/>
  <c r="E196" i="1"/>
  <c r="AA196" i="1" s="1"/>
  <c r="E197" i="1"/>
  <c r="AA197" i="1" s="1"/>
  <c r="E198" i="1"/>
  <c r="AA198" i="1" s="1"/>
  <c r="E199" i="1"/>
  <c r="AA199" i="1" s="1"/>
  <c r="E200" i="1"/>
  <c r="AA200" i="1" s="1"/>
  <c r="E201" i="1"/>
  <c r="AA201" i="1" s="1"/>
  <c r="E202" i="1"/>
  <c r="AA202" i="1" s="1"/>
  <c r="E203" i="1"/>
  <c r="AA203" i="1" s="1"/>
  <c r="E204" i="1"/>
  <c r="AA204" i="1" s="1"/>
  <c r="E205" i="1"/>
  <c r="AA205" i="1" s="1"/>
  <c r="E206" i="1"/>
  <c r="AA206" i="1" s="1"/>
  <c r="E207" i="1"/>
  <c r="AA207" i="1" s="1"/>
  <c r="E208" i="1"/>
  <c r="AA208" i="1" s="1"/>
  <c r="E209" i="1"/>
  <c r="AA209" i="1" s="1"/>
  <c r="E210" i="1"/>
  <c r="AA210" i="1" s="1"/>
  <c r="E211" i="1"/>
  <c r="AA211" i="1" s="1"/>
  <c r="E212" i="1"/>
  <c r="AA212" i="1" s="1"/>
  <c r="E213" i="1"/>
  <c r="AA213" i="1" s="1"/>
  <c r="E214" i="1"/>
  <c r="AA214" i="1" s="1"/>
  <c r="E215" i="1"/>
  <c r="AA215" i="1" s="1"/>
  <c r="E216" i="1"/>
  <c r="AA216" i="1" s="1"/>
  <c r="E217" i="1"/>
  <c r="AA217" i="1" s="1"/>
  <c r="E218" i="1"/>
  <c r="AA218" i="1" s="1"/>
  <c r="E219" i="1"/>
  <c r="AA219" i="1" s="1"/>
  <c r="E220" i="1"/>
  <c r="AA220" i="1" s="1"/>
  <c r="E221" i="1"/>
  <c r="AA221" i="1" s="1"/>
  <c r="E222" i="1"/>
  <c r="AA222" i="1" s="1"/>
  <c r="E223" i="1"/>
  <c r="AA223" i="1" s="1"/>
  <c r="E224" i="1"/>
  <c r="AA224" i="1" s="1"/>
  <c r="E225" i="1"/>
  <c r="AA225" i="1" s="1"/>
  <c r="E226" i="1"/>
  <c r="AA226" i="1" s="1"/>
  <c r="E227" i="1"/>
  <c r="AA227" i="1" s="1"/>
  <c r="E228" i="1"/>
  <c r="AA228" i="1" s="1"/>
  <c r="E229" i="1"/>
  <c r="AA229" i="1" s="1"/>
  <c r="E230" i="1"/>
  <c r="AA230" i="1" s="1"/>
  <c r="E231" i="1"/>
  <c r="AA231" i="1" s="1"/>
  <c r="E232" i="1"/>
  <c r="AA232" i="1" s="1"/>
  <c r="E233" i="1"/>
  <c r="AA233" i="1" s="1"/>
  <c r="E234" i="1"/>
  <c r="AA234" i="1" s="1"/>
  <c r="E235" i="1"/>
  <c r="AA235" i="1" s="1"/>
  <c r="E236" i="1"/>
  <c r="AA236" i="1" s="1"/>
  <c r="E237" i="1"/>
  <c r="AA237" i="1" s="1"/>
  <c r="E238" i="1"/>
  <c r="AA238" i="1" s="1"/>
  <c r="E239" i="1"/>
  <c r="AA239" i="1" s="1"/>
  <c r="E240" i="1"/>
  <c r="AA240" i="1" s="1"/>
  <c r="E241" i="1"/>
  <c r="AA241" i="1" s="1"/>
  <c r="E242" i="1"/>
  <c r="AA242" i="1" s="1"/>
  <c r="E243" i="1"/>
  <c r="AA243" i="1" s="1"/>
  <c r="E244" i="1"/>
  <c r="AA244" i="1" s="1"/>
  <c r="E245" i="1"/>
  <c r="AA245" i="1" s="1"/>
  <c r="E246" i="1"/>
  <c r="AA246" i="1" s="1"/>
  <c r="E247" i="1"/>
  <c r="AA247" i="1" s="1"/>
  <c r="E248" i="1"/>
  <c r="AA248" i="1" s="1"/>
  <c r="E249" i="1"/>
  <c r="AA249" i="1" s="1"/>
  <c r="E250" i="1"/>
  <c r="AA250" i="1" s="1"/>
  <c r="E251" i="1"/>
  <c r="AA251" i="1" s="1"/>
  <c r="E252" i="1"/>
  <c r="AA252" i="1" s="1"/>
  <c r="E253" i="1"/>
  <c r="AA253" i="1" s="1"/>
  <c r="E254" i="1"/>
  <c r="AA254" i="1" s="1"/>
  <c r="E255" i="1"/>
  <c r="AA255" i="1" s="1"/>
  <c r="E256" i="1"/>
  <c r="AA256" i="1" s="1"/>
  <c r="E257" i="1"/>
  <c r="AA257" i="1" s="1"/>
  <c r="E258" i="1"/>
  <c r="AA258" i="1" s="1"/>
  <c r="E259" i="1"/>
  <c r="AA259" i="1" s="1"/>
  <c r="E260" i="1"/>
  <c r="AA260" i="1" s="1"/>
  <c r="E261" i="1"/>
  <c r="AA261" i="1" s="1"/>
  <c r="E262" i="1"/>
  <c r="AA262" i="1" s="1"/>
  <c r="E263" i="1"/>
  <c r="AA263" i="1" s="1"/>
  <c r="E264" i="1"/>
  <c r="AA264" i="1" s="1"/>
  <c r="E265" i="1"/>
  <c r="AA265" i="1" s="1"/>
  <c r="E266" i="1"/>
  <c r="AA266" i="1" s="1"/>
  <c r="E267" i="1"/>
  <c r="AA267" i="1" s="1"/>
  <c r="E268" i="1"/>
  <c r="AA268" i="1" s="1"/>
  <c r="E269" i="1"/>
  <c r="AA269" i="1" s="1"/>
  <c r="E270" i="1"/>
  <c r="AA270" i="1" s="1"/>
  <c r="E271" i="1"/>
  <c r="AA271" i="1" s="1"/>
  <c r="E272" i="1"/>
  <c r="AA272" i="1" s="1"/>
  <c r="E273" i="1"/>
  <c r="AA273" i="1" s="1"/>
  <c r="E274" i="1"/>
  <c r="AA274" i="1" s="1"/>
  <c r="E275" i="1"/>
  <c r="AA275" i="1" s="1"/>
  <c r="E276" i="1"/>
  <c r="AA276" i="1" s="1"/>
  <c r="E277" i="1"/>
  <c r="AA277" i="1" s="1"/>
  <c r="E278" i="1"/>
  <c r="AA278" i="1" s="1"/>
  <c r="E279" i="1"/>
  <c r="AA279" i="1" s="1"/>
  <c r="E280" i="1"/>
  <c r="AA280" i="1" s="1"/>
  <c r="E281" i="1"/>
  <c r="AA281" i="1" s="1"/>
  <c r="E282" i="1"/>
  <c r="AA282" i="1" s="1"/>
  <c r="E283" i="1"/>
  <c r="AA283" i="1" s="1"/>
  <c r="E284" i="1"/>
  <c r="AA284" i="1" s="1"/>
  <c r="E285" i="1"/>
  <c r="AA285" i="1" s="1"/>
  <c r="E286" i="1"/>
  <c r="AA286" i="1" s="1"/>
  <c r="E287" i="1"/>
  <c r="AA287" i="1" s="1"/>
  <c r="E288" i="1"/>
  <c r="AA288" i="1" s="1"/>
  <c r="E289" i="1"/>
  <c r="AA289" i="1" s="1"/>
  <c r="E290" i="1"/>
  <c r="AA290" i="1" s="1"/>
  <c r="E291" i="1"/>
  <c r="AA291" i="1" s="1"/>
  <c r="E292" i="1"/>
  <c r="AA292" i="1" s="1"/>
  <c r="E293" i="1"/>
  <c r="AA293" i="1" s="1"/>
  <c r="E294" i="1"/>
  <c r="AA294" i="1" s="1"/>
  <c r="E295" i="1"/>
  <c r="AA295" i="1" s="1"/>
  <c r="E296" i="1"/>
  <c r="AA296" i="1" s="1"/>
  <c r="E297" i="1"/>
  <c r="AA297" i="1" s="1"/>
  <c r="E298" i="1"/>
  <c r="AA298" i="1" s="1"/>
  <c r="E299" i="1"/>
  <c r="AA299" i="1" s="1"/>
  <c r="E300" i="1"/>
  <c r="AA300" i="1" s="1"/>
  <c r="E301" i="1"/>
  <c r="AA301" i="1" s="1"/>
  <c r="E302" i="1"/>
  <c r="AA302" i="1" s="1"/>
  <c r="E303" i="1"/>
  <c r="AA303" i="1" s="1"/>
  <c r="E304" i="1"/>
  <c r="AA304" i="1" s="1"/>
  <c r="E305" i="1"/>
  <c r="AA305" i="1" s="1"/>
  <c r="E306" i="1"/>
  <c r="AA306" i="1" s="1"/>
  <c r="E307" i="1"/>
  <c r="AA307" i="1" s="1"/>
  <c r="E308" i="1"/>
  <c r="AA308" i="1" s="1"/>
  <c r="E309" i="1"/>
  <c r="AA309" i="1" s="1"/>
  <c r="E310" i="1"/>
  <c r="AA310" i="1" s="1"/>
  <c r="E311" i="1"/>
  <c r="AA311" i="1" s="1"/>
  <c r="E312" i="1"/>
  <c r="AA312" i="1" s="1"/>
  <c r="E313" i="1"/>
  <c r="AA313" i="1" s="1"/>
  <c r="E314" i="1"/>
  <c r="AA314" i="1" s="1"/>
  <c r="E315" i="1"/>
  <c r="AA315" i="1" s="1"/>
  <c r="E316" i="1"/>
  <c r="AA316" i="1" s="1"/>
  <c r="E317" i="1"/>
  <c r="AA317" i="1" s="1"/>
  <c r="E318" i="1"/>
  <c r="AA318" i="1" s="1"/>
  <c r="E319" i="1"/>
  <c r="AA319" i="1" s="1"/>
  <c r="E320" i="1"/>
  <c r="AA320" i="1" s="1"/>
  <c r="E321" i="1"/>
  <c r="AA321" i="1" s="1"/>
  <c r="E322" i="1"/>
  <c r="AA322" i="1" s="1"/>
  <c r="E323" i="1"/>
  <c r="AA323" i="1" s="1"/>
  <c r="E324" i="1"/>
  <c r="AA324" i="1" s="1"/>
  <c r="E325" i="1"/>
  <c r="AA325" i="1" s="1"/>
  <c r="E326" i="1"/>
  <c r="AA326" i="1" s="1"/>
  <c r="E327" i="1"/>
  <c r="AA327" i="1" s="1"/>
  <c r="E328" i="1"/>
  <c r="AA328" i="1" s="1"/>
  <c r="E329" i="1"/>
  <c r="AA329" i="1" s="1"/>
  <c r="E330" i="1"/>
  <c r="AA330" i="1" s="1"/>
  <c r="E331" i="1"/>
  <c r="AA331" i="1" s="1"/>
  <c r="E332" i="1"/>
  <c r="AA332" i="1" s="1"/>
  <c r="E333" i="1"/>
  <c r="AA333" i="1" s="1"/>
  <c r="E334" i="1"/>
  <c r="AA334" i="1" s="1"/>
  <c r="E335" i="1"/>
  <c r="AA335" i="1" s="1"/>
  <c r="E336" i="1"/>
  <c r="AA336" i="1" s="1"/>
  <c r="E337" i="1"/>
  <c r="AA337" i="1" s="1"/>
  <c r="E338" i="1"/>
  <c r="AA338" i="1" s="1"/>
  <c r="E339" i="1"/>
  <c r="AA339" i="1" s="1"/>
  <c r="E340" i="1"/>
  <c r="AA340" i="1" s="1"/>
  <c r="E341" i="1"/>
  <c r="AA341" i="1" s="1"/>
  <c r="E342" i="1"/>
  <c r="AA342" i="1" s="1"/>
  <c r="E343" i="1"/>
  <c r="AA343" i="1" s="1"/>
  <c r="E344" i="1"/>
  <c r="AA344" i="1" s="1"/>
  <c r="E345" i="1"/>
  <c r="AA345" i="1" s="1"/>
  <c r="E346" i="1"/>
  <c r="AA346" i="1" s="1"/>
  <c r="E347" i="1"/>
  <c r="AA347" i="1" s="1"/>
  <c r="E348" i="1"/>
  <c r="AA348" i="1" s="1"/>
  <c r="E349" i="1"/>
  <c r="AA349" i="1" s="1"/>
  <c r="E350" i="1"/>
  <c r="AA350" i="1" s="1"/>
  <c r="E351" i="1"/>
  <c r="AA351" i="1" s="1"/>
  <c r="E352" i="1"/>
  <c r="AA352" i="1" s="1"/>
  <c r="E353" i="1"/>
  <c r="AA353" i="1" s="1"/>
  <c r="E354" i="1"/>
  <c r="AA354" i="1" s="1"/>
  <c r="E355" i="1"/>
  <c r="AA355" i="1" s="1"/>
  <c r="E356" i="1"/>
  <c r="AA356" i="1" s="1"/>
  <c r="E357" i="1"/>
  <c r="AA357" i="1" s="1"/>
  <c r="E358" i="1"/>
  <c r="AA358" i="1" s="1"/>
  <c r="E359" i="1"/>
  <c r="AA359" i="1" s="1"/>
  <c r="E360" i="1"/>
  <c r="AA360" i="1" s="1"/>
  <c r="E361" i="1"/>
  <c r="AA361" i="1" s="1"/>
  <c r="E362" i="1"/>
  <c r="AA362" i="1" s="1"/>
  <c r="E363" i="1"/>
  <c r="AA363" i="1" s="1"/>
  <c r="E364" i="1"/>
  <c r="AA364" i="1" s="1"/>
  <c r="E365" i="1"/>
  <c r="AA365" i="1" s="1"/>
  <c r="E366" i="1"/>
  <c r="AA366" i="1" s="1"/>
  <c r="E367" i="1"/>
  <c r="AA367" i="1" s="1"/>
  <c r="E368" i="1"/>
  <c r="AA368" i="1" s="1"/>
  <c r="E369" i="1"/>
  <c r="AA369" i="1" s="1"/>
  <c r="E370" i="1"/>
  <c r="AA370" i="1" s="1"/>
  <c r="E371" i="1"/>
  <c r="AA371" i="1" s="1"/>
  <c r="E372" i="1"/>
  <c r="AA372" i="1" s="1"/>
  <c r="E373" i="1"/>
  <c r="AA373" i="1" s="1"/>
  <c r="E374" i="1"/>
  <c r="AA374" i="1" s="1"/>
  <c r="E375" i="1"/>
  <c r="AA375" i="1" s="1"/>
  <c r="E376" i="1"/>
  <c r="AA376" i="1" s="1"/>
  <c r="E377" i="1"/>
  <c r="AA377" i="1" s="1"/>
  <c r="E378" i="1"/>
  <c r="AA378" i="1" s="1"/>
  <c r="E379" i="1"/>
  <c r="AA379" i="1" s="1"/>
  <c r="E380" i="1"/>
  <c r="AA380" i="1" s="1"/>
  <c r="E381" i="1"/>
  <c r="AA381" i="1" s="1"/>
  <c r="E382" i="1"/>
  <c r="AA382" i="1" s="1"/>
  <c r="E383" i="1"/>
  <c r="AA383" i="1" s="1"/>
  <c r="E384" i="1"/>
  <c r="AA384" i="1" s="1"/>
  <c r="E385" i="1"/>
  <c r="AA385" i="1" s="1"/>
  <c r="E386" i="1"/>
  <c r="AA386" i="1" s="1"/>
  <c r="E387" i="1"/>
  <c r="AA387" i="1" s="1"/>
  <c r="E388" i="1"/>
  <c r="AA388" i="1" s="1"/>
  <c r="E389" i="1"/>
  <c r="AA389" i="1" s="1"/>
  <c r="E390" i="1"/>
  <c r="AA390" i="1" s="1"/>
  <c r="E391" i="1"/>
  <c r="AA391" i="1" s="1"/>
  <c r="E392" i="1"/>
  <c r="AA392" i="1" s="1"/>
  <c r="E393" i="1"/>
  <c r="AA393" i="1" s="1"/>
  <c r="E394" i="1"/>
  <c r="AA394" i="1" s="1"/>
  <c r="E395" i="1"/>
  <c r="AA395" i="1" s="1"/>
  <c r="E396" i="1"/>
  <c r="AA396" i="1" s="1"/>
  <c r="E397" i="1"/>
  <c r="AA397" i="1" s="1"/>
  <c r="E398" i="1"/>
  <c r="AA398" i="1" s="1"/>
  <c r="E399" i="1"/>
  <c r="AA399" i="1" s="1"/>
  <c r="E400" i="1"/>
  <c r="AA400" i="1" s="1"/>
  <c r="E401" i="1"/>
  <c r="AA401" i="1" s="1"/>
  <c r="E2" i="1"/>
  <c r="AA2" i="1" s="1"/>
  <c r="Z306" i="1" l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232" i="1"/>
  <c r="Z233" i="1"/>
  <c r="Z234" i="1"/>
  <c r="Z235" i="1"/>
  <c r="Z236" i="1"/>
  <c r="Z237" i="1"/>
  <c r="Z238" i="1"/>
  <c r="Z239" i="1"/>
  <c r="Z240" i="1"/>
  <c r="Z241" i="1"/>
  <c r="Z226" i="1"/>
  <c r="Z227" i="1"/>
  <c r="Z228" i="1"/>
  <c r="Z229" i="1"/>
  <c r="Z230" i="1"/>
  <c r="Z231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2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</calcChain>
</file>

<file path=xl/sharedStrings.xml><?xml version="1.0" encoding="utf-8"?>
<sst xmlns="http://schemas.openxmlformats.org/spreadsheetml/2006/main" count="1856" uniqueCount="102">
  <si>
    <t>Year</t>
  </si>
  <si>
    <t>Country</t>
  </si>
  <si>
    <t>Region</t>
  </si>
  <si>
    <t>Gaming_Revenue_BillionUSD</t>
  </si>
  <si>
    <t>Gaming_Revenue_MillionUSD</t>
  </si>
  <si>
    <t>Esports_Revenue_MillionUSD</t>
  </si>
  <si>
    <t>Active_Players_Million</t>
  </si>
  <si>
    <t>Esports_Viewers_Million</t>
  </si>
  <si>
    <t>Avg_Spending_USD</t>
  </si>
  <si>
    <t>Top_Genre</t>
  </si>
  <si>
    <t>Top_Platform</t>
  </si>
  <si>
    <t>Esports_Tournaments_Count</t>
  </si>
  <si>
    <t>Pro_Players_Count</t>
  </si>
  <si>
    <t>Internet_Penetration_Percent</t>
  </si>
  <si>
    <t>Internet_Penetration</t>
  </si>
  <si>
    <t>Avg_Latency_ms</t>
  </si>
  <si>
    <t>AR_VR_Adoption_Index</t>
  </si>
  <si>
    <t>Streaming_Influence_Index</t>
  </si>
  <si>
    <t>Covid_Impact_Index</t>
  </si>
  <si>
    <t>Female_Gamer_Percent</t>
  </si>
  <si>
    <t>Female_Gamer</t>
  </si>
  <si>
    <t>Mobile_Gaming_Share</t>
  </si>
  <si>
    <t>Esports_PrizePool_MillionUSD</t>
  </si>
  <si>
    <t>Gaming_Companies_Count</t>
  </si>
  <si>
    <t>CAGR_Gaming</t>
  </si>
  <si>
    <t>CAGR_Esports</t>
  </si>
  <si>
    <t>ARPU</t>
  </si>
  <si>
    <t>United States</t>
  </si>
  <si>
    <t>North America</t>
  </si>
  <si>
    <t>Strategy</t>
  </si>
  <si>
    <t>Mobile</t>
  </si>
  <si>
    <t>Sports</t>
  </si>
  <si>
    <t>Console</t>
  </si>
  <si>
    <t>MOBA</t>
  </si>
  <si>
    <t>RPG</t>
  </si>
  <si>
    <t>FPS</t>
  </si>
  <si>
    <t>PC</t>
  </si>
  <si>
    <t>China</t>
  </si>
  <si>
    <t>Asia</t>
  </si>
  <si>
    <t>Japan</t>
  </si>
  <si>
    <t>South Korea</t>
  </si>
  <si>
    <t>Germany</t>
  </si>
  <si>
    <t>Europe</t>
  </si>
  <si>
    <t>UK</t>
  </si>
  <si>
    <t>France</t>
  </si>
  <si>
    <t>Brazil</t>
  </si>
  <si>
    <t>South America</t>
  </si>
  <si>
    <t>Turkey</t>
  </si>
  <si>
    <t>Middle East</t>
  </si>
  <si>
    <t>Canada</t>
  </si>
  <si>
    <t>India</t>
  </si>
  <si>
    <t>Indonesia</t>
  </si>
  <si>
    <t>Russia</t>
  </si>
  <si>
    <t>Spain</t>
  </si>
  <si>
    <t>Italy</t>
  </si>
  <si>
    <t>Australia</t>
  </si>
  <si>
    <t>Oceania</t>
  </si>
  <si>
    <t>Mexico</t>
  </si>
  <si>
    <t>Sweden</t>
  </si>
  <si>
    <t>Netherlands</t>
  </si>
  <si>
    <t>South Africa</t>
  </si>
  <si>
    <t>Africa</t>
  </si>
  <si>
    <t>Saudi Arabia</t>
  </si>
  <si>
    <t>Argentina</t>
  </si>
  <si>
    <t>Poland</t>
  </si>
  <si>
    <t>Thailand</t>
  </si>
  <si>
    <t>Singapore</t>
  </si>
  <si>
    <t>Como evoluiu a receita de games e eSports por país e região entre 2010 e 2025?</t>
  </si>
  <si>
    <t>Qual país teve a maior taxa de crescimento anual (CAGR)?</t>
  </si>
  <si>
    <t>CAGR Gaming</t>
  </si>
  <si>
    <t>CAGR Esports</t>
  </si>
  <si>
    <t>Regiao</t>
  </si>
  <si>
    <t>Pais</t>
  </si>
  <si>
    <t>CAGR gaming</t>
  </si>
  <si>
    <t>CAGR esports</t>
  </si>
  <si>
    <t>Total Geral</t>
  </si>
  <si>
    <t>Soma de Gaming_Revenue_MillionUSD</t>
  </si>
  <si>
    <t>Soma de Esports_Revenue_MillionUSD</t>
  </si>
  <si>
    <t>Africa Total</t>
  </si>
  <si>
    <t>Asia Total</t>
  </si>
  <si>
    <t>Europe Total</t>
  </si>
  <si>
    <t>Middle East Total</t>
  </si>
  <si>
    <t>North America Total</t>
  </si>
  <si>
    <t>Oceania Total</t>
  </si>
  <si>
    <t>South America Total</t>
  </si>
  <si>
    <r>
      <rPr>
        <sz val="11"/>
        <color rgb="FF000000"/>
        <rFont val="Calibri"/>
        <scheme val="minor"/>
      </rPr>
      <t xml:space="preserve">Qual a </t>
    </r>
    <r>
      <rPr>
        <b/>
        <sz val="11"/>
        <color rgb="FF000000"/>
        <rFont val="Calibri"/>
        <scheme val="minor"/>
      </rPr>
      <t>participação de cada plataforma</t>
    </r>
    <r>
      <rPr>
        <sz val="11"/>
        <color rgb="FF000000"/>
        <rFont val="Calibri"/>
        <scheme val="minor"/>
      </rPr>
      <t xml:space="preserve"> (PC, Console, Mobile) ?</t>
    </r>
  </si>
  <si>
    <t>Qual gênero de jogo domina em cada região?</t>
  </si>
  <si>
    <r>
      <t xml:space="preserve">Qual o </t>
    </r>
    <r>
      <rPr>
        <b/>
        <sz val="11"/>
        <color theme="1"/>
        <rFont val="Calibri"/>
        <family val="2"/>
        <scheme val="minor"/>
      </rPr>
      <t>gasto médio por jogador (ARPU)</t>
    </r>
    <r>
      <rPr>
        <sz val="11"/>
        <color theme="1"/>
        <rFont val="Calibri"/>
        <family val="2"/>
        <scheme val="minor"/>
      </rPr>
      <t xml:space="preserve"> em cada país?</t>
    </r>
  </si>
  <si>
    <r>
      <rPr>
        <sz val="11"/>
        <color rgb="FF000000"/>
        <rFont val="Calibri"/>
        <scheme val="minor"/>
      </rPr>
      <t xml:space="preserve">Como evoluiu a </t>
    </r>
    <r>
      <rPr>
        <b/>
        <sz val="11"/>
        <color rgb="FF000000"/>
        <rFont val="Calibri"/>
        <scheme val="minor"/>
      </rPr>
      <t>participação feminina</t>
    </r>
    <r>
      <rPr>
        <sz val="11"/>
        <color rgb="FF000000"/>
        <rFont val="Calibri"/>
        <scheme val="minor"/>
      </rPr>
      <t xml:space="preserve"> no mercado gamer? </t>
    </r>
  </si>
  <si>
    <t>Média de Avg_Spending_USD</t>
  </si>
  <si>
    <t>Média de Female_Gamer_Percent</t>
  </si>
  <si>
    <t>4. eSports Performance</t>
  </si>
  <si>
    <r>
      <t xml:space="preserve">Quais países concentram mais </t>
    </r>
    <r>
      <rPr>
        <b/>
        <sz val="11"/>
        <color theme="1"/>
        <rFont val="Calibri"/>
        <family val="2"/>
        <scheme val="minor"/>
      </rPr>
      <t>torneios, jogadores profissionais e audiência</t>
    </r>
    <r>
      <rPr>
        <sz val="11"/>
        <color theme="1"/>
        <rFont val="Calibri"/>
        <family val="2"/>
        <scheme val="minor"/>
      </rPr>
      <t>?</t>
    </r>
  </si>
  <si>
    <r>
      <rPr>
        <sz val="11"/>
        <color rgb="FF000000"/>
        <rFont val="Calibri"/>
        <scheme val="minor"/>
      </rPr>
      <t xml:space="preserve">Como evoluiu o </t>
    </r>
    <r>
      <rPr>
        <b/>
        <sz val="11"/>
        <color rgb="FF000000"/>
        <rFont val="Calibri"/>
        <scheme val="minor"/>
      </rPr>
      <t>prize pool</t>
    </r>
    <r>
      <rPr>
        <sz val="11"/>
        <color rgb="FF000000"/>
        <rFont val="Calibri"/>
        <scheme val="minor"/>
      </rPr>
      <t xml:space="preserve"> dos torneios ao longo dos anos? </t>
    </r>
  </si>
  <si>
    <t>5. Tecnologia e Tendências</t>
  </si>
  <si>
    <r>
      <t xml:space="preserve">Qual a relação entre </t>
    </r>
    <r>
      <rPr>
        <b/>
        <sz val="11"/>
        <color theme="1"/>
        <rFont val="Calibri"/>
        <family val="2"/>
        <scheme val="minor"/>
      </rPr>
      <t>penetração da internet</t>
    </r>
    <r>
      <rPr>
        <sz val="11"/>
        <color theme="1"/>
        <rFont val="Calibri"/>
        <family val="2"/>
        <scheme val="minor"/>
      </rPr>
      <t xml:space="preserve"> e crescimento de jogadores ativos?</t>
    </r>
  </si>
  <si>
    <r>
      <t xml:space="preserve">Como evoluiu a adoção de </t>
    </r>
    <r>
      <rPr>
        <b/>
        <sz val="11"/>
        <color theme="1"/>
        <rFont val="Calibri"/>
        <family val="2"/>
        <scheme val="minor"/>
      </rPr>
      <t>AR/VR</t>
    </r>
    <r>
      <rPr>
        <sz val="11"/>
        <color theme="1"/>
        <rFont val="Calibri"/>
        <family val="2"/>
        <scheme val="minor"/>
      </rPr>
      <t xml:space="preserve"> e o impacto do </t>
    </r>
    <r>
      <rPr>
        <b/>
        <sz val="11"/>
        <color theme="1"/>
        <rFont val="Calibri"/>
        <family val="2"/>
        <scheme val="minor"/>
      </rPr>
      <t>streaming</t>
    </r>
    <r>
      <rPr>
        <sz val="11"/>
        <color theme="1"/>
        <rFont val="Calibri"/>
        <family val="2"/>
        <scheme val="minor"/>
      </rPr>
      <t>? 👉 Demonstra visão sobre inovação e correlação de variáveis.</t>
    </r>
  </si>
  <si>
    <t>6. Impactos Externos</t>
  </si>
  <si>
    <r>
      <t xml:space="preserve">Qual foi o impacto da </t>
    </r>
    <r>
      <rPr>
        <b/>
        <sz val="11"/>
        <color theme="1"/>
        <rFont val="Calibri"/>
        <family val="2"/>
        <scheme val="minor"/>
      </rPr>
      <t>COVID-19</t>
    </r>
    <r>
      <rPr>
        <sz val="11"/>
        <color theme="1"/>
        <rFont val="Calibri"/>
        <family val="2"/>
        <scheme val="minor"/>
      </rPr>
      <t xml:space="preserve"> na receita e audiência em 2020–2021? 👉 Mostra capacidade de contextualizar dados com eventos externos.</t>
    </r>
  </si>
  <si>
    <t>(Tudo)</t>
  </si>
  <si>
    <t>E-sports</t>
  </si>
  <si>
    <t>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</si>
</sst>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0.0"/>
    <numFmt numFmtId="166" formatCode="0.0%"/>
    <numFmt numFmtId="167" formatCode="[$$-409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b/>
      <sz val="13.5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242424"/>
      <name val="Aptos Narrow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/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18" fillId="0" borderId="0" xfId="0" applyFont="1" applyAlignment="1"/>
    <xf numFmtId="0" fontId="16" fillId="0" borderId="0" xfId="0" applyFont="1"/>
    <xf numFmtId="0" fontId="19" fillId="0" borderId="0" xfId="0" applyFont="1" applyAlignment="1">
      <alignment wrapText="1"/>
    </xf>
    <xf numFmtId="10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0" fontId="20" fillId="0" borderId="0" xfId="0" applyFont="1" applyAlignment="1">
      <alignment wrapText="1"/>
    </xf>
    <xf numFmtId="0" fontId="20" fillId="0" borderId="0" xfId="0" applyFont="1" applyAlignment="1"/>
    <xf numFmtId="0" fontId="22" fillId="0" borderId="0" xfId="0" applyFont="1" applyAlignment="1"/>
    <xf numFmtId="0" fontId="0" fillId="0" borderId="10" xfId="0" applyFont="1" applyBorder="1"/>
    <xf numFmtId="0" fontId="0" fillId="0" borderId="0" xfId="0" applyFont="1"/>
    <xf numFmtId="0" fontId="0" fillId="33" borderId="0" xfId="0" applyFill="1"/>
    <xf numFmtId="0" fontId="0" fillId="35" borderId="0" xfId="0" applyFill="1"/>
    <xf numFmtId="164" fontId="0" fillId="35" borderId="0" xfId="0" applyNumberFormat="1" applyFill="1"/>
    <xf numFmtId="0" fontId="14" fillId="33" borderId="0" xfId="0" applyFont="1" applyFill="1"/>
    <xf numFmtId="0" fontId="14" fillId="34" borderId="0" xfId="0" applyFont="1" applyFill="1"/>
    <xf numFmtId="164" fontId="14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0" formatCode="General"/>
    </dxf>
    <dxf>
      <numFmt numFmtId="164" formatCode="_-[$$-409]* #,##0.00_ ;_-[$$-409]* \-#,##0.00\ ;_-[$$-409]* &quot;-&quot;??_ ;_-@_ "/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wrapText="1"/>
    </dxf>
    <dxf>
      <numFmt numFmtId="14" formatCode="0.00%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</dxfs>
  <tableStyles count="0" defaultTableStyle="TableStyleMedium2" defaultPivotStyle="PivotStyleLight16"/>
  <colors>
    <mruColors>
      <color rgb="FFF1BC04"/>
      <color rgb="FF01CD66"/>
      <color rgb="FFFB3730"/>
      <color rgb="FFFC23A9"/>
      <color rgb="FF4DFAE3"/>
      <color rgb="FFFF4F4F"/>
      <color rgb="FFD6F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[global_gaming_esports_2010_2025.xlsx]dashboard!tbl_evolucao_receita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5B9BD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dashboard!$V$3</c:f>
              <c:strCache>
                <c:ptCount val="1"/>
                <c:pt idx="0">
                  <c:v>E-sports</c:v>
                </c:pt>
              </c:strCache>
            </c:strRef>
          </c:tx>
          <c:spPr>
            <a:ln w="2857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dashboard!$U$4:$U$20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dashboard!$V$4:$V$20</c:f>
              <c:numCache>
                <c:formatCode>_-[$$-409]* #,##0.00_ ;_-[$$-409]* \-#,##0.00\ ;_-[$$-409]* "-"??_ ;_-@_ </c:formatCode>
                <c:ptCount val="16"/>
                <c:pt idx="0">
                  <c:v>21134.5</c:v>
                </c:pt>
                <c:pt idx="1">
                  <c:v>25080.3</c:v>
                </c:pt>
                <c:pt idx="2">
                  <c:v>24551.500000000007</c:v>
                </c:pt>
                <c:pt idx="3">
                  <c:v>34951.699999999997</c:v>
                </c:pt>
                <c:pt idx="4">
                  <c:v>41072.400000000001</c:v>
                </c:pt>
                <c:pt idx="5">
                  <c:v>44970.499999999993</c:v>
                </c:pt>
                <c:pt idx="6">
                  <c:v>53380.900000000016</c:v>
                </c:pt>
                <c:pt idx="7">
                  <c:v>54950.400000000001</c:v>
                </c:pt>
                <c:pt idx="8">
                  <c:v>78699.200000000012</c:v>
                </c:pt>
                <c:pt idx="9">
                  <c:v>96484.6</c:v>
                </c:pt>
                <c:pt idx="10">
                  <c:v>103929.79999999999</c:v>
                </c:pt>
                <c:pt idx="11">
                  <c:v>128319.7</c:v>
                </c:pt>
                <c:pt idx="12">
                  <c:v>145012.4</c:v>
                </c:pt>
                <c:pt idx="13">
                  <c:v>160148.59999999998</c:v>
                </c:pt>
                <c:pt idx="14">
                  <c:v>228465.6</c:v>
                </c:pt>
                <c:pt idx="15">
                  <c:v>278007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5-4519-9BF7-A07ED4641C03}"/>
            </c:ext>
          </c:extLst>
        </c:ser>
        <c:ser>
          <c:idx val="1"/>
          <c:order val="1"/>
          <c:tx>
            <c:strRef>
              <c:f>dashboard!$W$3</c:f>
              <c:strCache>
                <c:ptCount val="1"/>
                <c:pt idx="0">
                  <c:v>Gaming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dashboard!$U$4:$U$20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dashboard!$W$4:$W$20</c:f>
              <c:numCache>
                <c:formatCode>_-[$$-409]* #,##0.00_ ;_-[$$-409]* \-#,##0.00\ ;_-[$$-409]* "-"??_ ;_-@_ </c:formatCode>
                <c:ptCount val="16"/>
                <c:pt idx="0">
                  <c:v>214200</c:v>
                </c:pt>
                <c:pt idx="1">
                  <c:v>249170</c:v>
                </c:pt>
                <c:pt idx="2">
                  <c:v>290400</c:v>
                </c:pt>
                <c:pt idx="3">
                  <c:v>339020</c:v>
                </c:pt>
                <c:pt idx="4">
                  <c:v>396420</c:v>
                </c:pt>
                <c:pt idx="5">
                  <c:v>464330</c:v>
                </c:pt>
                <c:pt idx="6">
                  <c:v>544700</c:v>
                </c:pt>
                <c:pt idx="7">
                  <c:v>640110</c:v>
                </c:pt>
                <c:pt idx="8">
                  <c:v>753410</c:v>
                </c:pt>
                <c:pt idx="9">
                  <c:v>888190</c:v>
                </c:pt>
                <c:pt idx="10">
                  <c:v>1048740</c:v>
                </c:pt>
                <c:pt idx="11">
                  <c:v>1240210</c:v>
                </c:pt>
                <c:pt idx="12">
                  <c:v>1468940</c:v>
                </c:pt>
                <c:pt idx="13">
                  <c:v>1742420</c:v>
                </c:pt>
                <c:pt idx="14">
                  <c:v>2069920</c:v>
                </c:pt>
                <c:pt idx="15">
                  <c:v>2462490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B-4CCF-A17D-1B7D5448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171464"/>
        <c:axId val="553185800"/>
      </c:lineChart>
      <c:catAx>
        <c:axId val="55317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85800"/>
        <c:crosses val="autoZero"/>
        <c:auto val="1"/>
        <c:lblAlgn val="ctr"/>
        <c:lblOffset val="100"/>
        <c:noMultiLvlLbl val="0"/>
      </c:catAx>
      <c:valAx>
        <c:axId val="553185800"/>
        <c:scaling>
          <c:orientation val="minMax"/>
        </c:scaling>
        <c:delete val="0"/>
        <c:axPos val="l"/>
        <c:numFmt formatCode="[$$-409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7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[global_gaming_esports_2010_2025.xlsx]calculo!tbl_plataforma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5B9BD5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rgbClr val="D6FA5F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calculo!$C$69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E4-4D43-90D8-0675E33C90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4-4D43-90D8-0675E33C9050}"/>
              </c:ext>
            </c:extLst>
          </c:dPt>
          <c:dPt>
            <c:idx val="2"/>
            <c:bubble3D val="0"/>
            <c:spPr>
              <a:solidFill>
                <a:srgbClr val="D6FA5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4-4D43-90D8-0675E33C90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calculo!$B$70:$B$73</c:f>
              <c:strCache>
                <c:ptCount val="3"/>
                <c:pt idx="0">
                  <c:v>Console</c:v>
                </c:pt>
                <c:pt idx="1">
                  <c:v>Mobile</c:v>
                </c:pt>
                <c:pt idx="2">
                  <c:v>PC</c:v>
                </c:pt>
              </c:strCache>
            </c:strRef>
          </c:cat>
          <c:val>
            <c:numRef>
              <c:f>calculo!$C$70:$C$73</c:f>
              <c:numCache>
                <c:formatCode>_-[$$-409]* #,##0.00_ ;_-[$$-409]* \-#,##0.00\ ;_-[$$-409]* "-"??_ ;_-@_ </c:formatCode>
                <c:ptCount val="3"/>
                <c:pt idx="0">
                  <c:v>3892170</c:v>
                </c:pt>
                <c:pt idx="1">
                  <c:v>5749920</c:v>
                </c:pt>
                <c:pt idx="2">
                  <c:v>5170580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A90-9B7E-FE1BB80C1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[global_gaming_esports_2010_2025.xlsx]calculo!tbl_cagr_todos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9B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calculo!$I$3</c:f>
              <c:strCache>
                <c:ptCount val="1"/>
                <c:pt idx="0">
                  <c:v>CAGR Gaming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calculo!$H$4:$H$11</c:f>
              <c:strCache>
                <c:ptCount val="7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Oceania</c:v>
                </c:pt>
                <c:pt idx="6">
                  <c:v>South America</c:v>
                </c:pt>
              </c:strCache>
            </c:strRef>
          </c:cat>
          <c:val>
            <c:numRef>
              <c:f>calculo!$I$4:$I$11</c:f>
              <c:numCache>
                <c:formatCode>0.00%</c:formatCode>
                <c:ptCount val="7"/>
                <c:pt idx="0">
                  <c:v>0.13809141282795068</c:v>
                </c:pt>
                <c:pt idx="1">
                  <c:v>0.15930749997946866</c:v>
                </c:pt>
                <c:pt idx="2">
                  <c:v>0.1698741826623896</c:v>
                </c:pt>
                <c:pt idx="3">
                  <c:v>0.10592514350296409</c:v>
                </c:pt>
                <c:pt idx="4">
                  <c:v>0.18193960945126117</c:v>
                </c:pt>
                <c:pt idx="5">
                  <c:v>6.009196571513753E-2</c:v>
                </c:pt>
                <c:pt idx="6">
                  <c:v>0.15941454484937406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A-4708-B681-517994C5B6D6}"/>
            </c:ext>
          </c:extLst>
        </c:ser>
        <c:ser>
          <c:idx val="1"/>
          <c:order val="1"/>
          <c:tx>
            <c:strRef>
              <c:f>calculo!$J$3</c:f>
              <c:strCache>
                <c:ptCount val="1"/>
                <c:pt idx="0">
                  <c:v>CAGR Esports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calculo!$H$4:$H$11</c:f>
              <c:strCache>
                <c:ptCount val="7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Middle East</c:v>
                </c:pt>
                <c:pt idx="4">
                  <c:v>North America</c:v>
                </c:pt>
                <c:pt idx="5">
                  <c:v>Oceania</c:v>
                </c:pt>
                <c:pt idx="6">
                  <c:v>South America</c:v>
                </c:pt>
              </c:strCache>
            </c:strRef>
          </c:cat>
          <c:val>
            <c:numRef>
              <c:f>calculo!$J$4:$J$11</c:f>
              <c:numCache>
                <c:formatCode>0.00%</c:formatCode>
                <c:ptCount val="7"/>
                <c:pt idx="0">
                  <c:v>0.12223248137611864</c:v>
                </c:pt>
                <c:pt idx="1">
                  <c:v>0.18245842844368668</c:v>
                </c:pt>
                <c:pt idx="2">
                  <c:v>0.16670370207392229</c:v>
                </c:pt>
                <c:pt idx="3">
                  <c:v>9.7947829182252477E-2</c:v>
                </c:pt>
                <c:pt idx="4">
                  <c:v>0.21729725092125754</c:v>
                </c:pt>
                <c:pt idx="5">
                  <c:v>2.2334714455911175E-2</c:v>
                </c:pt>
                <c:pt idx="6">
                  <c:v>0.17776702441185982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A-4708-B681-517994C5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25799"/>
        <c:axId val="91427847"/>
      </c:barChart>
      <c:catAx>
        <c:axId val="91425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7847"/>
        <c:crosses val="autoZero"/>
        <c:auto val="1"/>
        <c:lblAlgn val="ctr"/>
        <c:lblOffset val="100"/>
        <c:noMultiLvlLbl val="0"/>
      </c:catAx>
      <c:valAx>
        <c:axId val="91427847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5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[global_gaming_esports_2010_2025.xlsx]calculo!tbl_genero_regao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C23A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D6FA5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calculo!$C$77:$C$78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rgbClr val="D6FA5F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calculo!$C$79:$C$84</c:f>
              <c:numCache>
                <c:formatCode>_-[$$-409]* #,##0.00_ ;_-[$$-409]* \-#,##0.00\ ;_-[$$-409]* "-"??_ ;_-@_ </c:formatCode>
                <c:ptCount val="5"/>
                <c:pt idx="0">
                  <c:v>106030</c:v>
                </c:pt>
                <c:pt idx="1">
                  <c:v>66050</c:v>
                </c:pt>
                <c:pt idx="2">
                  <c:v>20950</c:v>
                </c:pt>
                <c:pt idx="3">
                  <c:v>340420</c:v>
                </c:pt>
                <c:pt idx="4">
                  <c:v>92560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6-42BB-A2D1-B81F5F08DE90}"/>
            </c:ext>
          </c:extLst>
        </c:ser>
        <c:ser>
          <c:idx val="1"/>
          <c:order val="1"/>
          <c:tx>
            <c:strRef>
              <c:f>calculo!$D$77:$D$78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calculo!$D$79:$D$84</c:f>
              <c:numCache>
                <c:formatCode>_-[$$-409]* #,##0.00_ ;_-[$$-409]* \-#,##0.00\ ;_-[$$-409]* "-"??_ ;_-@_ </c:formatCode>
                <c:ptCount val="5"/>
                <c:pt idx="0">
                  <c:v>468370</c:v>
                </c:pt>
                <c:pt idx="1">
                  <c:v>733530</c:v>
                </c:pt>
                <c:pt idx="2">
                  <c:v>814180</c:v>
                </c:pt>
                <c:pt idx="3">
                  <c:v>841710</c:v>
                </c:pt>
                <c:pt idx="4">
                  <c:v>1053440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595-425A-A7BA-05DD11D68413}"/>
            </c:ext>
          </c:extLst>
        </c:ser>
        <c:ser>
          <c:idx val="2"/>
          <c:order val="2"/>
          <c:tx>
            <c:strRef>
              <c:f>calculo!$E$77:$E$78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calculo!$E$79:$E$84</c:f>
              <c:numCache>
                <c:formatCode>_-[$$-409]* #,##0.00_ ;_-[$$-409]* \-#,##0.00\ ;_-[$$-409]* "-"??_ ;_-@_ </c:formatCode>
                <c:ptCount val="5"/>
                <c:pt idx="0">
                  <c:v>1342510</c:v>
                </c:pt>
                <c:pt idx="1">
                  <c:v>1281420</c:v>
                </c:pt>
                <c:pt idx="2">
                  <c:v>1314520</c:v>
                </c:pt>
                <c:pt idx="3">
                  <c:v>1114660</c:v>
                </c:pt>
                <c:pt idx="4">
                  <c:v>799160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595-425A-A7BA-05DD11D68413}"/>
            </c:ext>
          </c:extLst>
        </c:ser>
        <c:ser>
          <c:idx val="3"/>
          <c:order val="3"/>
          <c:tx>
            <c:strRef>
              <c:f>calculo!$F$77:$F$78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calculo!$F$79:$F$84</c:f>
              <c:numCache>
                <c:formatCode>_-[$$-409]* #,##0.00_ ;_-[$$-409]* \-#,##0.00\ ;_-[$$-409]* "-"??_ ;_-@_ </c:formatCode>
                <c:ptCount val="5"/>
                <c:pt idx="0">
                  <c:v>207630</c:v>
                </c:pt>
                <c:pt idx="1">
                  <c:v>108710</c:v>
                </c:pt>
                <c:pt idx="2">
                  <c:v>216890</c:v>
                </c:pt>
                <c:pt idx="3">
                  <c:v>176680</c:v>
                </c:pt>
                <c:pt idx="4">
                  <c:v>37070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95-425A-A7BA-05DD11D68413}"/>
            </c:ext>
          </c:extLst>
        </c:ser>
        <c:ser>
          <c:idx val="4"/>
          <c:order val="4"/>
          <c:tx>
            <c:strRef>
              <c:f>calculo!$G$77:$G$78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calculo!$G$79:$G$84</c:f>
              <c:numCache>
                <c:formatCode>_-[$$-409]* #,##0.00_ ;_-[$$-409]* \-#,##0.00\ ;_-[$$-409]* "-"??_ ;_-@_ </c:formatCode>
                <c:ptCount val="5"/>
                <c:pt idx="0">
                  <c:v>328120</c:v>
                </c:pt>
                <c:pt idx="1">
                  <c:v>309290</c:v>
                </c:pt>
                <c:pt idx="2">
                  <c:v>170700</c:v>
                </c:pt>
                <c:pt idx="3">
                  <c:v>866740</c:v>
                </c:pt>
                <c:pt idx="4">
                  <c:v>440040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595-425A-A7BA-05DD11D68413}"/>
            </c:ext>
          </c:extLst>
        </c:ser>
        <c:ser>
          <c:idx val="5"/>
          <c:order val="5"/>
          <c:tx>
            <c:strRef>
              <c:f>calculo!$H$77:$H$78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calculo!$H$79:$H$84</c:f>
              <c:numCache>
                <c:formatCode>_-[$$-409]* #,##0.00_ ;_-[$$-409]* \-#,##0.00\ ;_-[$$-409]* "-"??_ ;_-@_ </c:formatCode>
                <c:ptCount val="5"/>
                <c:pt idx="0">
                  <c:v>44470</c:v>
                </c:pt>
                <c:pt idx="1">
                  <c:v>39100</c:v>
                </c:pt>
                <c:pt idx="2">
                  <c:v>41210</c:v>
                </c:pt>
                <c:pt idx="3">
                  <c:v>14100</c:v>
                </c:pt>
                <c:pt idx="4">
                  <c:v>21170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595-425A-A7BA-05DD11D68413}"/>
            </c:ext>
          </c:extLst>
        </c:ser>
        <c:ser>
          <c:idx val="6"/>
          <c:order val="6"/>
          <c:tx>
            <c:strRef>
              <c:f>calculo!$I$77:$I$78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rgbClr val="FC23A9"/>
            </a:solidFill>
            <a:ln>
              <a:noFill/>
            </a:ln>
            <a:effectLst/>
          </c:spPr>
          <c:invertIfNegative val="0"/>
          <c:cat>
            <c:strRef>
              <c:f>calculo!$B$79:$B$84</c:f>
              <c:strCache>
                <c:ptCount val="5"/>
                <c:pt idx="0">
                  <c:v>FPS</c:v>
                </c:pt>
                <c:pt idx="1">
                  <c:v>MOBA</c:v>
                </c:pt>
                <c:pt idx="2">
                  <c:v>RPG</c:v>
                </c:pt>
                <c:pt idx="3">
                  <c:v>Sports</c:v>
                </c:pt>
                <c:pt idx="4">
                  <c:v>Strategy</c:v>
                </c:pt>
              </c:strCache>
            </c:strRef>
          </c:cat>
          <c:val>
            <c:numRef>
              <c:f>calculo!$I$79:$I$84</c:f>
              <c:numCache>
                <c:formatCode>_-[$$-409]* #,##0.00_ ;_-[$$-409]* \-#,##0.00\ ;_-[$$-409]* "-"??_ ;_-@_ </c:formatCode>
                <c:ptCount val="5"/>
                <c:pt idx="0">
                  <c:v>82570</c:v>
                </c:pt>
                <c:pt idx="1">
                  <c:v>5630</c:v>
                </c:pt>
                <c:pt idx="2">
                  <c:v>475810</c:v>
                </c:pt>
                <c:pt idx="3">
                  <c:v>643440</c:v>
                </c:pt>
                <c:pt idx="4">
                  <c:v>193790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595-425A-A7BA-05DD11D68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790152"/>
        <c:axId val="1966792200"/>
      </c:barChart>
      <c:catAx>
        <c:axId val="196679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92200"/>
        <c:crosses val="autoZero"/>
        <c:auto val="1"/>
        <c:lblAlgn val="ctr"/>
        <c:lblOffset val="100"/>
        <c:noMultiLvlLbl val="0"/>
      </c:catAx>
      <c:valAx>
        <c:axId val="1966792200"/>
        <c:scaling>
          <c:orientation val="minMax"/>
          <c:max val="1400000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9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[global_gaming_esports_2010_2025.xlsx]calculo!tbl_gasto_jogador</c:name>
    <c:fmtId val="16"/>
  </c:pivotSource>
  <c:chart>
    <c:autoTitleDeleted val="1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calculo!$C$87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calculo!$B$88:$B$113</c:f>
              <c:strCache>
                <c:ptCount val="25"/>
                <c:pt idx="0">
                  <c:v>Argentina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France</c:v>
                </c:pt>
                <c:pt idx="6">
                  <c:v>Germany</c:v>
                </c:pt>
                <c:pt idx="7">
                  <c:v>India</c:v>
                </c:pt>
                <c:pt idx="8">
                  <c:v>Indonesia</c:v>
                </c:pt>
                <c:pt idx="9">
                  <c:v>Italy</c:v>
                </c:pt>
                <c:pt idx="10">
                  <c:v>Japan</c:v>
                </c:pt>
                <c:pt idx="11">
                  <c:v>Mexico</c:v>
                </c:pt>
                <c:pt idx="12">
                  <c:v>Netherlands</c:v>
                </c:pt>
                <c:pt idx="13">
                  <c:v>Poland</c:v>
                </c:pt>
                <c:pt idx="14">
                  <c:v>Russia</c:v>
                </c:pt>
                <c:pt idx="15">
                  <c:v>Saudi Arabia</c:v>
                </c:pt>
                <c:pt idx="16">
                  <c:v>Singapore</c:v>
                </c:pt>
                <c:pt idx="17">
                  <c:v>South Africa</c:v>
                </c:pt>
                <c:pt idx="18">
                  <c:v>South Korea</c:v>
                </c:pt>
                <c:pt idx="19">
                  <c:v>Spain</c:v>
                </c:pt>
                <c:pt idx="20">
                  <c:v>Sweden</c:v>
                </c:pt>
                <c:pt idx="21">
                  <c:v>Thailand</c:v>
                </c:pt>
                <c:pt idx="22">
                  <c:v>Turkey</c:v>
                </c:pt>
                <c:pt idx="23">
                  <c:v>UK</c:v>
                </c:pt>
                <c:pt idx="24">
                  <c:v>United States</c:v>
                </c:pt>
              </c:strCache>
            </c:strRef>
          </c:cat>
          <c:val>
            <c:numRef>
              <c:f>calculo!$C$88:$C$113</c:f>
              <c:numCache>
                <c:formatCode>_-[$$-409]* #,##0.00_ ;_-[$$-409]* \-#,##0.00\ ;_-[$$-409]* "-"??_ ;_-@_ </c:formatCode>
                <c:ptCount val="25"/>
                <c:pt idx="0">
                  <c:v>92.06874999999998</c:v>
                </c:pt>
                <c:pt idx="1">
                  <c:v>83.475000000000009</c:v>
                </c:pt>
                <c:pt idx="2">
                  <c:v>98.287500000000009</c:v>
                </c:pt>
                <c:pt idx="3">
                  <c:v>101.49375000000001</c:v>
                </c:pt>
                <c:pt idx="4">
                  <c:v>86.625000000000014</c:v>
                </c:pt>
                <c:pt idx="5">
                  <c:v>102.2</c:v>
                </c:pt>
                <c:pt idx="6">
                  <c:v>95.449999999999989</c:v>
                </c:pt>
                <c:pt idx="7">
                  <c:v>80.887499999999989</c:v>
                </c:pt>
                <c:pt idx="8">
                  <c:v>80.718749999999986</c:v>
                </c:pt>
                <c:pt idx="9">
                  <c:v>84.131250000000009</c:v>
                </c:pt>
                <c:pt idx="10">
                  <c:v>95.356249999999974</c:v>
                </c:pt>
                <c:pt idx="11">
                  <c:v>101.45625</c:v>
                </c:pt>
                <c:pt idx="12">
                  <c:v>67.881249999999994</c:v>
                </c:pt>
                <c:pt idx="13">
                  <c:v>100.73749999999998</c:v>
                </c:pt>
                <c:pt idx="14">
                  <c:v>79.756249999999994</c:v>
                </c:pt>
                <c:pt idx="15">
                  <c:v>95.274999999999991</c:v>
                </c:pt>
                <c:pt idx="16">
                  <c:v>93.931249999999991</c:v>
                </c:pt>
                <c:pt idx="17">
                  <c:v>90.956249999999997</c:v>
                </c:pt>
                <c:pt idx="18">
                  <c:v>80.518749999999997</c:v>
                </c:pt>
                <c:pt idx="19">
                  <c:v>97.424999999999983</c:v>
                </c:pt>
                <c:pt idx="20">
                  <c:v>89.668750000000003</c:v>
                </c:pt>
                <c:pt idx="21">
                  <c:v>111.55000000000001</c:v>
                </c:pt>
                <c:pt idx="22">
                  <c:v>98.006249999999994</c:v>
                </c:pt>
                <c:pt idx="23">
                  <c:v>98.043750000000003</c:v>
                </c:pt>
                <c:pt idx="24">
                  <c:v>86.612499999999997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8-4A8F-82B6-69664C26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403271"/>
        <c:axId val="689538568"/>
      </c:barChart>
      <c:catAx>
        <c:axId val="811403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538568"/>
        <c:crosses val="autoZero"/>
        <c:auto val="1"/>
        <c:lblAlgn val="ctr"/>
        <c:lblOffset val="100"/>
        <c:noMultiLvlLbl val="0"/>
      </c:catAx>
      <c:valAx>
        <c:axId val="689538568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03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[global_gaming_esports_2010_2025.xlsx]calculo!tbl_participação_fem</c:name>
    <c:fmtId val="28"/>
  </c:pivotSource>
  <c:chart>
    <c:autoTitleDeleted val="1"/>
    <c:pivotFmts>
      <c:pivotFmt>
        <c:idx val="0"/>
        <c:spPr>
          <a:solidFill>
            <a:srgbClr val="637CEF"/>
          </a:solidFill>
          <a:ln w="28575" cap="rnd">
            <a:solidFill>
              <a:srgbClr val="FC23A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23A9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FC23A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23A9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FC23A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23A9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FC23A9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23A9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C23A9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calculo!$F$87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C23A9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calculo!$E$88:$E$104</c:f>
              <c:strCach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strCache>
            </c:strRef>
          </c:cat>
          <c:val>
            <c:numRef>
              <c:f>calculo!$F$88:$F$104</c:f>
              <c:numCache>
                <c:formatCode>0.00%</c:formatCode>
                <c:ptCount val="16"/>
                <c:pt idx="0">
                  <c:v>9.5320000000000002E-2</c:v>
                </c:pt>
                <c:pt idx="1">
                  <c:v>0.11408000000000001</c:v>
                </c:pt>
                <c:pt idx="2">
                  <c:v>0.1336</c:v>
                </c:pt>
                <c:pt idx="3">
                  <c:v>0.14923999999999998</c:v>
                </c:pt>
                <c:pt idx="4">
                  <c:v>0.16675999999999999</c:v>
                </c:pt>
                <c:pt idx="5">
                  <c:v>0.18228000000000003</c:v>
                </c:pt>
                <c:pt idx="6">
                  <c:v>0.20104</c:v>
                </c:pt>
                <c:pt idx="7">
                  <c:v>0.21075999999999995</c:v>
                </c:pt>
                <c:pt idx="8">
                  <c:v>0.23239999999999994</c:v>
                </c:pt>
                <c:pt idx="9">
                  <c:v>0.25531999999999999</c:v>
                </c:pt>
                <c:pt idx="10">
                  <c:v>0.26775999999999994</c:v>
                </c:pt>
                <c:pt idx="11">
                  <c:v>0.28183999999999998</c:v>
                </c:pt>
                <c:pt idx="12">
                  <c:v>0.29919999999999997</c:v>
                </c:pt>
                <c:pt idx="13">
                  <c:v>0.31123999999999996</c:v>
                </c:pt>
                <c:pt idx="14">
                  <c:v>0.33632000000000006</c:v>
                </c:pt>
                <c:pt idx="15">
                  <c:v>0.35571999999999987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3-4EDF-B9F8-5B87B5B9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8671752"/>
        <c:axId val="928692744"/>
      </c:lineChart>
      <c:catAx>
        <c:axId val="92867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692744"/>
        <c:crosses val="autoZero"/>
        <c:auto val="1"/>
        <c:lblAlgn val="ctr"/>
        <c:lblOffset val="100"/>
        <c:noMultiLvlLbl val="0"/>
      </c:catAx>
      <c:valAx>
        <c:axId val="9286927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67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6</xdr:row>
      <xdr:rowOff>104775</xdr:rowOff>
    </xdr:from>
    <xdr:to>
      <xdr:col>6</xdr:col>
      <xdr:colOff>533400</xdr:colOff>
      <xdr:row>18</xdr:row>
      <xdr:rowOff>19050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5C7DF19B-C4D1-46B0-9C1E-AAB1EC99E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15</xdr:row>
      <xdr:rowOff>66675</xdr:rowOff>
    </xdr:from>
    <xdr:to>
      <xdr:col>0</xdr:col>
      <xdr:colOff>1819275</xdr:colOff>
      <xdr:row>49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 1">
              <a:extLst>
                <a:ext uri="{FF2B5EF4-FFF2-40B4-BE49-F238E27FC236}">
                  <a16:creationId xmlns:a16="http://schemas.microsoft.com/office/drawing/2014/main" id="{4BBB6B78-3A63-AC3E-1499-D9DC6DC04F9B}"/>
                </a:ext>
                <a:ext uri="{147F2762-F138-4A5C-976F-8EAC2B608ADB}">
                  <a16:predDERef xmlns:a16="http://schemas.microsoft.com/office/drawing/2014/main" pred="{5C7DF19B-C4D1-46B0-9C1E-AAB1EC99E2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409575"/>
              <a:ext cx="1828800" cy="706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13</xdr:col>
      <xdr:colOff>85725</xdr:colOff>
      <xdr:row>6</xdr:row>
      <xdr:rowOff>104775</xdr:rowOff>
    </xdr:from>
    <xdr:to>
      <xdr:col>18</xdr:col>
      <xdr:colOff>219075</xdr:colOff>
      <xdr:row>18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8AF1DF-FCE9-4816-864E-E2ABF8F28AA3}"/>
            </a:ext>
            <a:ext uri="{147F2762-F138-4A5C-976F-8EAC2B608ADB}">
              <a16:predDERef xmlns:a16="http://schemas.microsoft.com/office/drawing/2014/main" pred="{4BBB6B78-3A63-AC3E-1499-D9DC6DC04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581025</xdr:colOff>
      <xdr:row>6</xdr:row>
      <xdr:rowOff>95250</xdr:rowOff>
    </xdr:from>
    <xdr:to>
      <xdr:col>13</xdr:col>
      <xdr:colOff>28575</xdr:colOff>
      <xdr:row>18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221179-0621-4AF7-84A6-C530DC72B1E3}"/>
            </a:ext>
            <a:ext uri="{147F2762-F138-4A5C-976F-8EAC2B608ADB}">
              <a16:predDERef xmlns:a16="http://schemas.microsoft.com/office/drawing/2014/main" pred="{0A8AF1DF-FCE9-4816-864E-E2ABF8F28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219075</xdr:colOff>
      <xdr:row>20</xdr:row>
      <xdr:rowOff>95250</xdr:rowOff>
    </xdr:from>
    <xdr:to>
      <xdr:col>18</xdr:col>
      <xdr:colOff>219075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C46D40-7FE9-45DF-9787-BA70F6C4C745}"/>
            </a:ext>
            <a:ext uri="{147F2762-F138-4A5C-976F-8EAC2B608ADB}">
              <a16:predDERef xmlns:a16="http://schemas.microsoft.com/office/drawing/2014/main" pred="{6F221179-0621-4AF7-84A6-C530DC72B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219075</xdr:colOff>
      <xdr:row>35</xdr:row>
      <xdr:rowOff>85725</xdr:rowOff>
    </xdr:from>
    <xdr:to>
      <xdr:col>9</xdr:col>
      <xdr:colOff>38100</xdr:colOff>
      <xdr:row>49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05C01EA-27B8-4DC8-A154-89501D880B01}"/>
            </a:ext>
            <a:ext uri="{147F2762-F138-4A5C-976F-8EAC2B608ADB}">
              <a16:predDERef xmlns:a16="http://schemas.microsoft.com/office/drawing/2014/main" pred="{BFC46D40-7FE9-45DF-9787-BA70F6C4C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228600</xdr:colOff>
      <xdr:row>4</xdr:row>
      <xdr:rowOff>104775</xdr:rowOff>
    </xdr:from>
    <xdr:to>
      <xdr:col>6</xdr:col>
      <xdr:colOff>533400</xdr:colOff>
      <xdr:row>6</xdr:row>
      <xdr:rowOff>123825</xdr:rowOff>
    </xdr:to>
    <xdr:sp macro="" textlink="">
      <xdr:nvSpPr>
        <xdr:cNvPr id="2" name="Retângulo com Canto Redondo do Mesmo Lado 1">
          <a:extLst>
            <a:ext uri="{FF2B5EF4-FFF2-40B4-BE49-F238E27FC236}">
              <a16:creationId xmlns:a16="http://schemas.microsoft.com/office/drawing/2014/main" id="{DE5C792F-6F5F-03E7-67E7-4C1F92BE5F74}"/>
            </a:ext>
            <a:ext uri="{147F2762-F138-4A5C-976F-8EAC2B608ADB}">
              <a16:predDERef xmlns:a16="http://schemas.microsoft.com/office/drawing/2014/main" pred="{B05C01EA-27B8-4DC8-A154-89501D880B01}"/>
            </a:ext>
          </a:extLst>
        </xdr:cNvPr>
        <xdr:cNvSpPr/>
      </xdr:nvSpPr>
      <xdr:spPr>
        <a:xfrm>
          <a:off x="2133600" y="866775"/>
          <a:ext cx="4152900" cy="400050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000" b="1" i="0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Gaming Revenue vs. Esports Revenue Evolution (Million USD)</a:t>
          </a:r>
        </a:p>
      </xdr:txBody>
    </xdr:sp>
    <xdr:clientData/>
  </xdr:twoCellAnchor>
  <xdr:twoCellAnchor>
    <xdr:from>
      <xdr:col>6</xdr:col>
      <xdr:colOff>590550</xdr:colOff>
      <xdr:row>4</xdr:row>
      <xdr:rowOff>95250</xdr:rowOff>
    </xdr:from>
    <xdr:to>
      <xdr:col>13</xdr:col>
      <xdr:colOff>47625</xdr:colOff>
      <xdr:row>6</xdr:row>
      <xdr:rowOff>114300</xdr:rowOff>
    </xdr:to>
    <xdr:sp macro="" textlink="">
      <xdr:nvSpPr>
        <xdr:cNvPr id="10" name="Retângulo com Canto Redondo do Mesmo Lado 9">
          <a:extLst>
            <a:ext uri="{FF2B5EF4-FFF2-40B4-BE49-F238E27FC236}">
              <a16:creationId xmlns:a16="http://schemas.microsoft.com/office/drawing/2014/main" id="{C7C26CAB-8BFF-49C0-A8C6-750839A4F24E}"/>
            </a:ext>
            <a:ext uri="{147F2762-F138-4A5C-976F-8EAC2B608ADB}">
              <a16:predDERef xmlns:a16="http://schemas.microsoft.com/office/drawing/2014/main" pred="{DE5C792F-6F5F-03E7-67E7-4C1F92BE5F74}"/>
            </a:ext>
          </a:extLst>
        </xdr:cNvPr>
        <xdr:cNvSpPr/>
      </xdr:nvSpPr>
      <xdr:spPr>
        <a:xfrm>
          <a:off x="6343650" y="857250"/>
          <a:ext cx="3724275" cy="400050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Average Growth Rate by Region (CAGR)</a:t>
          </a:r>
        </a:p>
      </xdr:txBody>
    </xdr:sp>
    <xdr:clientData/>
  </xdr:twoCellAnchor>
  <xdr:twoCellAnchor>
    <xdr:from>
      <xdr:col>1</xdr:col>
      <xdr:colOff>438150</xdr:colOff>
      <xdr:row>0</xdr:row>
      <xdr:rowOff>66675</xdr:rowOff>
    </xdr:from>
    <xdr:to>
      <xdr:col>9</xdr:col>
      <xdr:colOff>76200</xdr:colOff>
      <xdr:row>2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082B20-2DD2-66CC-CE60-1B5CADC5C348}"/>
            </a:ext>
            <a:ext uri="{147F2762-F138-4A5C-976F-8EAC2B608ADB}">
              <a16:predDERef xmlns:a16="http://schemas.microsoft.com/office/drawing/2014/main" pred="{C7C26CAB-8BFF-49C0-A8C6-750839A4F24E}"/>
            </a:ext>
          </a:extLst>
        </xdr:cNvPr>
        <xdr:cNvSpPr txBox="1"/>
      </xdr:nvSpPr>
      <xdr:spPr>
        <a:xfrm>
          <a:off x="2343150" y="66675"/>
          <a:ext cx="5314950" cy="3905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b="1" i="0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Global Gaming &amp; E-sports Market Insights </a:t>
          </a:r>
          <a:r>
            <a:rPr lang="en-US" sz="1800" b="1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 </a:t>
          </a:r>
        </a:p>
      </xdr:txBody>
    </xdr:sp>
    <xdr:clientData/>
  </xdr:twoCellAnchor>
  <xdr:twoCellAnchor>
    <xdr:from>
      <xdr:col>1</xdr:col>
      <xdr:colOff>47625</xdr:colOff>
      <xdr:row>1</xdr:row>
      <xdr:rowOff>180975</xdr:rowOff>
    </xdr:from>
    <xdr:to>
      <xdr:col>7</xdr:col>
      <xdr:colOff>142875</xdr:colOff>
      <xdr:row>4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ADE2DA2-F9A5-4267-A5AE-0C9C4C92479E}"/>
            </a:ext>
            <a:ext uri="{147F2762-F138-4A5C-976F-8EAC2B608ADB}">
              <a16:predDERef xmlns:a16="http://schemas.microsoft.com/office/drawing/2014/main" pred="{B8082B20-2DD2-66CC-CE60-1B5CADC5C348}"/>
            </a:ext>
          </a:extLst>
        </xdr:cNvPr>
        <xdr:cNvSpPr txBox="1"/>
      </xdr:nvSpPr>
      <xdr:spPr>
        <a:xfrm>
          <a:off x="2076450" y="371475"/>
          <a:ext cx="4552950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0" i="0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Revenue Evolution, Growth Trends and Player Behavior Analysis</a:t>
          </a:r>
        </a:p>
      </xdr:txBody>
    </xdr:sp>
    <xdr:clientData/>
  </xdr:twoCellAnchor>
  <xdr:twoCellAnchor>
    <xdr:from>
      <xdr:col>13</xdr:col>
      <xdr:colOff>95250</xdr:colOff>
      <xdr:row>4</xdr:row>
      <xdr:rowOff>95250</xdr:rowOff>
    </xdr:from>
    <xdr:to>
      <xdr:col>18</xdr:col>
      <xdr:colOff>228600</xdr:colOff>
      <xdr:row>6</xdr:row>
      <xdr:rowOff>114300</xdr:rowOff>
    </xdr:to>
    <xdr:sp macro="" textlink="">
      <xdr:nvSpPr>
        <xdr:cNvPr id="13" name="Retângulo com Canto Redondo do Mesmo Lado 12">
          <a:extLst>
            <a:ext uri="{FF2B5EF4-FFF2-40B4-BE49-F238E27FC236}">
              <a16:creationId xmlns:a16="http://schemas.microsoft.com/office/drawing/2014/main" id="{27C57DA3-19FB-4931-BB07-21CF44F054CE}"/>
            </a:ext>
            <a:ext uri="{147F2762-F138-4A5C-976F-8EAC2B608ADB}">
              <a16:predDERef xmlns:a16="http://schemas.microsoft.com/office/drawing/2014/main" pred="{6ADE2DA2-F9A5-4267-A5AE-0C9C4C92479E}"/>
            </a:ext>
          </a:extLst>
        </xdr:cNvPr>
        <xdr:cNvSpPr/>
      </xdr:nvSpPr>
      <xdr:spPr>
        <a:xfrm>
          <a:off x="10115550" y="857250"/>
          <a:ext cx="3181350" cy="400050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Platform Market Share</a:t>
          </a:r>
        </a:p>
      </xdr:txBody>
    </xdr:sp>
    <xdr:clientData/>
  </xdr:twoCellAnchor>
  <xdr:twoCellAnchor>
    <xdr:from>
      <xdr:col>1</xdr:col>
      <xdr:colOff>219075</xdr:colOff>
      <xdr:row>18</xdr:row>
      <xdr:rowOff>95250</xdr:rowOff>
    </xdr:from>
    <xdr:to>
      <xdr:col>18</xdr:col>
      <xdr:colOff>209550</xdr:colOff>
      <xdr:row>20</xdr:row>
      <xdr:rowOff>123825</xdr:rowOff>
    </xdr:to>
    <xdr:sp macro="" textlink="">
      <xdr:nvSpPr>
        <xdr:cNvPr id="14" name="Retângulo com Canto Redondo do Mesmo Lado 13">
          <a:extLst>
            <a:ext uri="{FF2B5EF4-FFF2-40B4-BE49-F238E27FC236}">
              <a16:creationId xmlns:a16="http://schemas.microsoft.com/office/drawing/2014/main" id="{BEBA6802-A970-43C4-B442-A206789D2362}"/>
            </a:ext>
            <a:ext uri="{147F2762-F138-4A5C-976F-8EAC2B608ADB}">
              <a16:predDERef xmlns:a16="http://schemas.microsoft.com/office/drawing/2014/main" pred="{27C57DA3-19FB-4931-BB07-21CF44F054CE}"/>
            </a:ext>
          </a:extLst>
        </xdr:cNvPr>
        <xdr:cNvSpPr/>
      </xdr:nvSpPr>
      <xdr:spPr>
        <a:xfrm>
          <a:off x="2124075" y="3524250"/>
          <a:ext cx="11153775" cy="409575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Game Genres by Region (Million USD)</a:t>
          </a:r>
        </a:p>
      </xdr:txBody>
    </xdr:sp>
    <xdr:clientData/>
  </xdr:twoCellAnchor>
  <xdr:twoCellAnchor>
    <xdr:from>
      <xdr:col>1</xdr:col>
      <xdr:colOff>219075</xdr:colOff>
      <xdr:row>33</xdr:row>
      <xdr:rowOff>85725</xdr:rowOff>
    </xdr:from>
    <xdr:to>
      <xdr:col>9</xdr:col>
      <xdr:colOff>28575</xdr:colOff>
      <xdr:row>35</xdr:row>
      <xdr:rowOff>95250</xdr:rowOff>
    </xdr:to>
    <xdr:sp macro="" textlink="">
      <xdr:nvSpPr>
        <xdr:cNvPr id="15" name="Retângulo com Canto Redondo do Mesmo Lado 14">
          <a:extLst>
            <a:ext uri="{FF2B5EF4-FFF2-40B4-BE49-F238E27FC236}">
              <a16:creationId xmlns:a16="http://schemas.microsoft.com/office/drawing/2014/main" id="{D3BADFCE-D42D-47F6-A125-4335814A58F0}"/>
            </a:ext>
            <a:ext uri="{147F2762-F138-4A5C-976F-8EAC2B608ADB}">
              <a16:predDERef xmlns:a16="http://schemas.microsoft.com/office/drawing/2014/main" pred="{BEBA6802-A970-43C4-B442-A206789D2362}"/>
            </a:ext>
          </a:extLst>
        </xdr:cNvPr>
        <xdr:cNvSpPr/>
      </xdr:nvSpPr>
      <xdr:spPr>
        <a:xfrm>
          <a:off x="2124075" y="6372225"/>
          <a:ext cx="5486400" cy="390525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Average Spending per Active Player by Country (Million USD)</a:t>
          </a:r>
        </a:p>
      </xdr:txBody>
    </xdr:sp>
    <xdr:clientData/>
  </xdr:twoCellAnchor>
  <xdr:twoCellAnchor>
    <xdr:from>
      <xdr:col>1</xdr:col>
      <xdr:colOff>57150</xdr:colOff>
      <xdr:row>2</xdr:row>
      <xdr:rowOff>152400</xdr:rowOff>
    </xdr:from>
    <xdr:to>
      <xdr:col>2</xdr:col>
      <xdr:colOff>257175</xdr:colOff>
      <xdr:row>3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CAC53C4-D579-4F30-BC09-2E9FEF80D3FC}"/>
            </a:ext>
            <a:ext uri="{147F2762-F138-4A5C-976F-8EAC2B608ADB}">
              <a16:predDERef xmlns:a16="http://schemas.microsoft.com/office/drawing/2014/main" pred="{D3BADFCE-D42D-47F6-A125-4335814A58F0}"/>
            </a:ext>
          </a:extLst>
        </xdr:cNvPr>
        <xdr:cNvSpPr txBox="1"/>
      </xdr:nvSpPr>
      <xdr:spPr>
        <a:xfrm>
          <a:off x="2028825" y="533400"/>
          <a:ext cx="1609725" cy="2000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800" b="0" i="0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Data Source: 2010-2025</a:t>
          </a:r>
        </a:p>
      </xdr:txBody>
    </xdr:sp>
    <xdr:clientData/>
  </xdr:twoCellAnchor>
  <xdr:twoCellAnchor>
    <xdr:from>
      <xdr:col>15</xdr:col>
      <xdr:colOff>285750</xdr:colOff>
      <xdr:row>2</xdr:row>
      <xdr:rowOff>114300</xdr:rowOff>
    </xdr:from>
    <xdr:to>
      <xdr:col>18</xdr:col>
      <xdr:colOff>285750</xdr:colOff>
      <xdr:row>3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D343771-29FE-445E-887C-7185E337AB6E}"/>
            </a:ext>
            <a:ext uri="{147F2762-F138-4A5C-976F-8EAC2B608ADB}">
              <a16:predDERef xmlns:a16="http://schemas.microsoft.com/office/drawing/2014/main" pred="{4ECD2C14-B19A-4031-B9A1-182B2C767294}"/>
            </a:ext>
          </a:extLst>
        </xdr:cNvPr>
        <xdr:cNvSpPr txBox="1"/>
      </xdr:nvSpPr>
      <xdr:spPr>
        <a:xfrm>
          <a:off x="11591925" y="495300"/>
          <a:ext cx="1828800" cy="2476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900" b="0" i="1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Last Updated: January 9, 2026</a:t>
          </a:r>
        </a:p>
      </xdr:txBody>
    </xdr:sp>
    <xdr:clientData/>
  </xdr:twoCellAnchor>
  <xdr:twoCellAnchor>
    <xdr:from>
      <xdr:col>9</xdr:col>
      <xdr:colOff>104775</xdr:colOff>
      <xdr:row>33</xdr:row>
      <xdr:rowOff>85725</xdr:rowOff>
    </xdr:from>
    <xdr:to>
      <xdr:col>18</xdr:col>
      <xdr:colOff>219075</xdr:colOff>
      <xdr:row>35</xdr:row>
      <xdr:rowOff>95250</xdr:rowOff>
    </xdr:to>
    <xdr:sp macro="" textlink="">
      <xdr:nvSpPr>
        <xdr:cNvPr id="17" name="Retângulo com Canto Redondo do Mesmo Lado 16">
          <a:extLst>
            <a:ext uri="{FF2B5EF4-FFF2-40B4-BE49-F238E27FC236}">
              <a16:creationId xmlns:a16="http://schemas.microsoft.com/office/drawing/2014/main" id="{4ECD2C14-B19A-4031-B9A1-182B2C767294}"/>
            </a:ext>
            <a:ext uri="{147F2762-F138-4A5C-976F-8EAC2B608ADB}">
              <a16:predDERef xmlns:a16="http://schemas.microsoft.com/office/drawing/2014/main" pred="{1D343771-29FE-445E-887C-7185E337AB6E}"/>
            </a:ext>
          </a:extLst>
        </xdr:cNvPr>
        <xdr:cNvSpPr/>
      </xdr:nvSpPr>
      <xdr:spPr>
        <a:xfrm>
          <a:off x="7686675" y="6372225"/>
          <a:ext cx="5600700" cy="390525"/>
        </a:xfrm>
        <a:prstGeom prst="round2Same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 b="1" i="0" u="none" strike="noStrike">
              <a:solidFill>
                <a:schemeClr val="lt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Female Participation Growth in the Gaming Market</a:t>
          </a:r>
        </a:p>
      </xdr:txBody>
    </xdr:sp>
    <xdr:clientData/>
  </xdr:twoCellAnchor>
  <xdr:twoCellAnchor editAs="oneCell">
    <xdr:from>
      <xdr:col>0</xdr:col>
      <xdr:colOff>66675</xdr:colOff>
      <xdr:row>4</xdr:row>
      <xdr:rowOff>38100</xdr:rowOff>
    </xdr:from>
    <xdr:to>
      <xdr:col>0</xdr:col>
      <xdr:colOff>1819275</xdr:colOff>
      <xdr:row>15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Region">
              <a:extLst>
                <a:ext uri="{FF2B5EF4-FFF2-40B4-BE49-F238E27FC236}">
                  <a16:creationId xmlns:a16="http://schemas.microsoft.com/office/drawing/2014/main" id="{7BD0E8D5-705B-47AD-3C8E-9333FEF354A9}"/>
                </a:ext>
                <a:ext uri="{147F2762-F138-4A5C-976F-8EAC2B608ADB}">
                  <a16:predDERef xmlns:a16="http://schemas.microsoft.com/office/drawing/2014/main" pred="{1D343771-29FE-445E-887C-7185E337AB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800100"/>
              <a:ext cx="1828800" cy="2085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104775</xdr:colOff>
      <xdr:row>35</xdr:row>
      <xdr:rowOff>76200</xdr:rowOff>
    </xdr:from>
    <xdr:to>
      <xdr:col>18</xdr:col>
      <xdr:colOff>228600</xdr:colOff>
      <xdr:row>49</xdr:row>
      <xdr:rowOff>104775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1EEA500C-7DC9-498D-913E-50E4551D6388}"/>
            </a:ext>
            <a:ext uri="{147F2762-F138-4A5C-976F-8EAC2B608ADB}">
              <a16:predDERef xmlns:a16="http://schemas.microsoft.com/office/drawing/2014/main" pred="{7BD0E8D5-705B-47AD-3C8E-9333FEF35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133350</xdr:rowOff>
    </xdr:from>
    <xdr:to>
      <xdr:col>0</xdr:col>
      <xdr:colOff>1838325</xdr:colOff>
      <xdr:row>2</xdr:row>
      <xdr:rowOff>76200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DD70870-FEE8-4AC5-B8A6-F5983E27F4B1}"/>
            </a:ext>
            <a:ext uri="{147F2762-F138-4A5C-976F-8EAC2B608ADB}">
              <a16:predDERef xmlns:a16="http://schemas.microsoft.com/office/drawing/2014/main" pred="{1EEA500C-7DC9-498D-913E-50E4551D6388}"/>
            </a:ext>
          </a:extLst>
        </xdr:cNvPr>
        <xdr:cNvSpPr txBox="1"/>
      </xdr:nvSpPr>
      <xdr:spPr>
        <a:xfrm>
          <a:off x="0" y="133350"/>
          <a:ext cx="1838325" cy="3238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Welcome, everyone!  </a:t>
          </a:r>
        </a:p>
      </xdr:txBody>
    </xdr:sp>
    <xdr:clientData/>
  </xdr:twoCellAnchor>
  <xdr:twoCellAnchor editAs="oneCell">
    <xdr:from>
      <xdr:col>1</xdr:col>
      <xdr:colOff>190500</xdr:colOff>
      <xdr:row>0</xdr:row>
      <xdr:rowOff>123825</xdr:rowOff>
    </xdr:from>
    <xdr:to>
      <xdr:col>1</xdr:col>
      <xdr:colOff>485775</xdr:colOff>
      <xdr:row>2</xdr:row>
      <xdr:rowOff>38100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F9814063-BCF2-AA33-2A5A-37CBAD0C4E4E}"/>
            </a:ext>
            <a:ext uri="{147F2762-F138-4A5C-976F-8EAC2B608ADB}">
              <a16:predDERef xmlns:a16="http://schemas.microsoft.com/office/drawing/2014/main" pred="{FDD70870-FEE8-4AC5-B8A6-F5983E27F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123825"/>
          <a:ext cx="295275" cy="2952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123825</xdr:rowOff>
    </xdr:from>
    <xdr:to>
      <xdr:col>1</xdr:col>
      <xdr:colOff>0</xdr:colOff>
      <xdr:row>3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68732D8-BBF9-4C72-BABD-6C29A4F59473}"/>
            </a:ext>
            <a:ext uri="{147F2762-F138-4A5C-976F-8EAC2B608ADB}">
              <a16:predDERef xmlns:a16="http://schemas.microsoft.com/office/drawing/2014/main" pred="{F9814063-BCF2-AA33-2A5A-37CBAD0C4E4E}"/>
            </a:ext>
          </a:extLst>
        </xdr:cNvPr>
        <xdr:cNvSpPr txBox="1"/>
      </xdr:nvSpPr>
      <xdr:spPr>
        <a:xfrm>
          <a:off x="0" y="314325"/>
          <a:ext cx="1905000" cy="39052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800" b="0" i="1" u="none" strike="noStrike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rPr>
            <a:t>Explore the latest insights and trends in the global gaming market.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495277546295" createdVersion="8" refreshedVersion="8" minRefreshableVersion="3" recordCount="400" xr:uid="{E788385D-DBD7-41BA-9685-7502D0820323}">
  <cacheSource type="worksheet">
    <worksheetSource ref="A1:AA401" sheet="base"/>
  </cacheSource>
  <cacheFields count="27">
    <cacheField name="Year" numFmtId="0">
      <sharedItems containsSemiMixedTypes="0" containsString="0" containsNumber="1" containsInteger="1" minValue="2010" maxValue="2025" count="16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ountry" numFmtId="49">
      <sharedItems count="25">
        <s v="United States"/>
        <s v="China"/>
        <s v="Japan"/>
        <s v="South Korea"/>
        <s v="Germany"/>
        <s v="UK"/>
        <s v="France"/>
        <s v="Brazil"/>
        <s v="Turkey"/>
        <s v="Canada"/>
        <s v="India"/>
        <s v="Indonesia"/>
        <s v="Russia"/>
        <s v="Spain"/>
        <s v="Italy"/>
        <s v="Australia"/>
        <s v="Mexico"/>
        <s v="Sweden"/>
        <s v="Netherlands"/>
        <s v="South Africa"/>
        <s v="Saudi Arabia"/>
        <s v="Argentina"/>
        <s v="Poland"/>
        <s v="Thailand"/>
        <s v="Singapore"/>
      </sharedItems>
    </cacheField>
    <cacheField name="Region" numFmtId="49">
      <sharedItems count="7">
        <s v="North America"/>
        <s v="Asia"/>
        <s v="Europe"/>
        <s v="South America"/>
        <s v="Middle East"/>
        <s v="Oceania"/>
        <s v="Africa"/>
      </sharedItems>
    </cacheField>
    <cacheField name="Gaming_Revenue_BillionUSD" numFmtId="164">
      <sharedItems containsSemiMixedTypes="0" containsString="0" containsNumber="1" minValue="1.2" maxValue="277.08"/>
    </cacheField>
    <cacheField name="Gaming_Revenue_MillionUSD" numFmtId="167">
      <sharedItems containsSemiMixedTypes="0" containsString="0" containsNumber="1" minValue="1200" maxValue="277080"/>
    </cacheField>
    <cacheField name="Esports_Revenue_MillionUSD" numFmtId="164">
      <sharedItems containsSemiMixedTypes="0" containsString="0" containsNumber="1" minValue="88.7" maxValue="32461.7"/>
    </cacheField>
    <cacheField name="Active_Players_Million" numFmtId="2">
      <sharedItems containsSemiMixedTypes="0" containsString="0" containsNumber="1" minValue="2.1" maxValue="59.9"/>
    </cacheField>
    <cacheField name="Esports_Viewers_Million" numFmtId="2">
      <sharedItems containsSemiMixedTypes="0" containsString="0" containsNumber="1" minValue="5.4" maxValue="195.4"/>
    </cacheField>
    <cacheField name="Avg_Spending_USD" numFmtId="164">
      <sharedItems containsSemiMixedTypes="0" containsString="0" containsNumber="1" minValue="30.1" maxValue="150"/>
    </cacheField>
    <cacheField name="Top_Genre" numFmtId="49">
      <sharedItems count="5">
        <s v="Strategy"/>
        <s v="Sports"/>
        <s v="MOBA"/>
        <s v="RPG"/>
        <s v="FPS"/>
      </sharedItems>
    </cacheField>
    <cacheField name="Top_Platform" numFmtId="49">
      <sharedItems count="3">
        <s v="Mobile"/>
        <s v="Console"/>
        <s v="PC"/>
      </sharedItems>
    </cacheField>
    <cacheField name="Esports_Tournaments_Count" numFmtId="0">
      <sharedItems containsSemiMixedTypes="0" containsString="0" containsNumber="1" containsInteger="1" minValue="5" maxValue="119"/>
    </cacheField>
    <cacheField name="Pro_Players_Count" numFmtId="0">
      <sharedItems containsSemiMixedTypes="0" containsString="0" containsNumber="1" containsInteger="1" minValue="485" maxValue="33561"/>
    </cacheField>
    <cacheField name="Internet_Penetration_Percent" numFmtId="166">
      <sharedItems containsSemiMixedTypes="0" containsString="0" containsNumber="1" minValue="0.503" maxValue="0.94799999999999995"/>
    </cacheField>
    <cacheField name="Internet_Penetration" numFmtId="0">
      <sharedItems containsSemiMixedTypes="0" containsString="0" containsNumber="1" minValue="50.3" maxValue="94.8"/>
    </cacheField>
    <cacheField name="Avg_Latency_ms" numFmtId="0">
      <sharedItems containsSemiMixedTypes="0" containsString="0" containsNumber="1" minValue="25.1" maxValue="100"/>
    </cacheField>
    <cacheField name="AR_VR_Adoption_Index" numFmtId="0">
      <sharedItems containsSemiMixedTypes="0" containsString="0" containsNumber="1" minValue="-0.03" maxValue="0.96"/>
    </cacheField>
    <cacheField name="Streaming_Influence_Index" numFmtId="0">
      <sharedItems containsSemiMixedTypes="0" containsString="0" containsNumber="1" minValue="0.1" maxValue="1.35"/>
    </cacheField>
    <cacheField name="Covid_Impact_Index" numFmtId="0">
      <sharedItems containsSemiMixedTypes="0" containsString="0" containsNumber="1" minValue="0" maxValue="0.59"/>
    </cacheField>
    <cacheField name="Female_Gamer_Percent" numFmtId="166">
      <sharedItems containsSemiMixedTypes="0" containsString="0" containsNumber="1" minValue="0.05" maxValue="0.41499999999999998"/>
    </cacheField>
    <cacheField name="Female_Gamer" numFmtId="0">
      <sharedItems containsSemiMixedTypes="0" containsString="0" containsNumber="1" minValue="5" maxValue="41.5"/>
    </cacheField>
    <cacheField name="Mobile_Gaming_Share" numFmtId="0">
      <sharedItems containsSemiMixedTypes="0" containsString="0" containsNumber="1" containsInteger="1" minValue="20" maxValue="65"/>
    </cacheField>
    <cacheField name="Esports_PrizePool_MillionUSD" numFmtId="164">
      <sharedItems containsSemiMixedTypes="0" containsString="0" containsNumber="1" minValue="1" maxValue="45.1"/>
    </cacheField>
    <cacheField name="Gaming_Companies_Count" numFmtId="1">
      <sharedItems containsSemiMixedTypes="0" containsString="0" containsNumber="1" containsInteger="1" minValue="10" maxValue="494"/>
    </cacheField>
    <cacheField name="CAGR_Gaming" numFmtId="10">
      <sharedItems containsSemiMixedTypes="0" containsString="0" containsNumber="1" minValue="6.009196571513753E-2" maxValue="0.24574892539335313"/>
    </cacheField>
    <cacheField name="CAGR_Esports" numFmtId="10">
      <sharedItems containsSemiMixedTypes="0" containsString="0" containsNumber="1" minValue="2.2334714455911175E-2" maxValue="0.30572094147558548"/>
    </cacheField>
    <cacheField name="ARPU" numFmtId="164">
      <sharedItems containsSemiMixedTypes="0" containsString="0" containsNumber="1" minValue="23.828125" maxValue="37443.24324324324"/>
    </cacheField>
  </cacheFields>
  <extLst>
    <ext xmlns:x14="http://schemas.microsoft.com/office/spreadsheetml/2009/9/main" uri="{725AE2AE-9491-48be-B2B4-4EB974FC3084}">
      <x14:pivotCacheDefinition pivotCacheId="15500253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x v="0"/>
    <x v="0"/>
    <n v="6.24"/>
    <n v="6240"/>
    <n v="409.6"/>
    <n v="11"/>
    <n v="17.899999999999999"/>
    <n v="133.9"/>
    <x v="0"/>
    <x v="0"/>
    <n v="104"/>
    <n v="15912"/>
    <n v="0.82499999999999996"/>
    <n v="82.5"/>
    <n v="95.4"/>
    <n v="0.13"/>
    <n v="0.1"/>
    <n v="0"/>
    <n v="0.13"/>
    <n v="13"/>
    <n v="20"/>
    <n v="34"/>
    <n v="395"/>
    <n v="0.24018869186095859"/>
    <n v="0.30424315037542593"/>
    <n v="567.27272727272725"/>
  </r>
  <r>
    <x v="1"/>
    <x v="0"/>
    <x v="0"/>
    <n v="7.74"/>
    <n v="7740"/>
    <n v="622.70000000000005"/>
    <n v="32.4"/>
    <n v="76.7"/>
    <n v="64.900000000000006"/>
    <x v="1"/>
    <x v="1"/>
    <n v="63"/>
    <n v="13797"/>
    <n v="0.70499999999999996"/>
    <n v="70.5"/>
    <n v="83.9"/>
    <n v="0.08"/>
    <n v="0.16"/>
    <n v="0"/>
    <n v="0.107"/>
    <n v="10.7"/>
    <n v="23"/>
    <n v="10.199999999999999"/>
    <n v="60"/>
    <n v="0.24018869186095859"/>
    <n v="0.30424315037542593"/>
    <n v="238.88888888888889"/>
  </r>
  <r>
    <x v="2"/>
    <x v="0"/>
    <x v="0"/>
    <n v="9.6"/>
    <n v="9600"/>
    <n v="928.3"/>
    <n v="51.9"/>
    <n v="148.4"/>
    <n v="84.1"/>
    <x v="2"/>
    <x v="0"/>
    <n v="22"/>
    <n v="3982"/>
    <n v="0.63700000000000001"/>
    <n v="63.7"/>
    <n v="32.299999999999997"/>
    <n v="0.11"/>
    <n v="0.22"/>
    <n v="0"/>
    <n v="0.13300000000000001"/>
    <n v="13.3"/>
    <n v="26"/>
    <n v="8.5"/>
    <n v="349"/>
    <n v="0.24018869186095859"/>
    <n v="0.30424315037542593"/>
    <n v="184.97109826589596"/>
  </r>
  <r>
    <x v="3"/>
    <x v="0"/>
    <x v="0"/>
    <n v="11.91"/>
    <n v="11910"/>
    <n v="1321.8"/>
    <n v="50.3"/>
    <n v="92.9"/>
    <n v="76.900000000000006"/>
    <x v="2"/>
    <x v="0"/>
    <n v="54"/>
    <n v="8262"/>
    <n v="0.51400000000000001"/>
    <n v="51.4"/>
    <n v="88.2"/>
    <n v="0.14000000000000001"/>
    <n v="0.28000000000000003"/>
    <n v="0"/>
    <n v="0.128"/>
    <n v="12.8"/>
    <n v="29"/>
    <n v="18.3"/>
    <n v="53"/>
    <n v="0.24018869186095859"/>
    <n v="0.30424315037542593"/>
    <n v="236.77932405566602"/>
  </r>
  <r>
    <x v="4"/>
    <x v="0"/>
    <x v="0"/>
    <n v="14.77"/>
    <n v="14770"/>
    <n v="869.1"/>
    <n v="13.4"/>
    <n v="21.3"/>
    <n v="69"/>
    <x v="0"/>
    <x v="0"/>
    <n v="84"/>
    <n v="24024"/>
    <n v="0.93400000000000005"/>
    <n v="93.4"/>
    <n v="70.5"/>
    <n v="0.14000000000000001"/>
    <n v="0.34"/>
    <n v="0"/>
    <n v="0.17"/>
    <n v="17"/>
    <n v="32"/>
    <n v="18.3"/>
    <n v="50"/>
    <n v="0.24018869186095859"/>
    <n v="0.30424315037542593"/>
    <n v="1102.2388059701493"/>
  </r>
  <r>
    <x v="5"/>
    <x v="0"/>
    <x v="0"/>
    <n v="18.309999999999999"/>
    <n v="18310"/>
    <n v="944.4"/>
    <n v="26.6"/>
    <n v="60.8"/>
    <n v="65.2"/>
    <x v="3"/>
    <x v="1"/>
    <n v="67"/>
    <n v="12596"/>
    <n v="0.84699999999999998"/>
    <n v="84.7"/>
    <n v="30.6"/>
    <n v="0.06"/>
    <n v="0.4"/>
    <n v="0"/>
    <n v="0.17300000000000001"/>
    <n v="17.3"/>
    <n v="35"/>
    <n v="13.4"/>
    <n v="240"/>
    <n v="0.24018869186095859"/>
    <n v="0.30424315037542593"/>
    <n v="688.3458646616541"/>
  </r>
  <r>
    <x v="6"/>
    <x v="0"/>
    <x v="0"/>
    <n v="22.71"/>
    <n v="22710"/>
    <n v="3066.3"/>
    <n v="28.1"/>
    <n v="47.5"/>
    <n v="74.5"/>
    <x v="1"/>
    <x v="0"/>
    <n v="66"/>
    <n v="17490"/>
    <n v="0.89900000000000002"/>
    <n v="89.9"/>
    <n v="60.4"/>
    <n v="0.21"/>
    <n v="0.46"/>
    <n v="0"/>
    <n v="0.20499999999999999"/>
    <n v="20.5"/>
    <n v="38"/>
    <n v="20.9"/>
    <n v="110"/>
    <n v="0.24018869186095859"/>
    <n v="0.30424315037542593"/>
    <n v="808.18505338078285"/>
  </r>
  <r>
    <x v="7"/>
    <x v="0"/>
    <x v="0"/>
    <n v="28.17"/>
    <n v="28170"/>
    <n v="2129.6"/>
    <n v="4.3"/>
    <n v="12.7"/>
    <n v="43.3"/>
    <x v="4"/>
    <x v="2"/>
    <n v="81"/>
    <n v="18468"/>
    <n v="0.72900000000000009"/>
    <n v="72.900000000000006"/>
    <n v="93.1"/>
    <n v="0.21"/>
    <n v="0.52"/>
    <n v="0"/>
    <n v="0.23199999999999998"/>
    <n v="23.2"/>
    <n v="41"/>
    <n v="12.8"/>
    <n v="416"/>
    <n v="0.24018869186095859"/>
    <n v="0.30424315037542593"/>
    <n v="6551.1627906976746"/>
  </r>
  <r>
    <x v="8"/>
    <x v="0"/>
    <x v="0"/>
    <n v="34.93"/>
    <n v="34930"/>
    <n v="2455.8000000000002"/>
    <n v="56.7"/>
    <n v="152.9"/>
    <n v="113.4"/>
    <x v="4"/>
    <x v="2"/>
    <n v="32"/>
    <n v="3680"/>
    <n v="0.89200000000000002"/>
    <n v="89.2"/>
    <n v="85.3"/>
    <n v="0.38"/>
    <n v="0.57999999999999996"/>
    <n v="0"/>
    <n v="0.27899999999999997"/>
    <n v="27.9"/>
    <n v="44"/>
    <n v="9.8000000000000007"/>
    <n v="53"/>
    <n v="0.24018869186095859"/>
    <n v="0.30424315037542593"/>
    <n v="616.04938271604931"/>
  </r>
  <r>
    <x v="9"/>
    <x v="0"/>
    <x v="0"/>
    <n v="43.32"/>
    <n v="43320"/>
    <n v="3571"/>
    <n v="9.1"/>
    <n v="20.100000000000001"/>
    <n v="138.80000000000001"/>
    <x v="4"/>
    <x v="2"/>
    <n v="5"/>
    <n v="850"/>
    <n v="0.88700000000000001"/>
    <n v="88.7"/>
    <n v="25.5"/>
    <n v="0.47"/>
    <n v="0.64"/>
    <n v="0"/>
    <n v="0.24600000000000002"/>
    <n v="24.6"/>
    <n v="47"/>
    <n v="1.6"/>
    <n v="465"/>
    <n v="0.24018869186095859"/>
    <n v="0.30424315037542593"/>
    <n v="4760.4395604395604"/>
  </r>
  <r>
    <x v="10"/>
    <x v="0"/>
    <x v="0"/>
    <n v="53.72"/>
    <n v="53720"/>
    <n v="4133.3999999999996"/>
    <n v="16.2"/>
    <n v="29.7"/>
    <n v="56.3"/>
    <x v="4"/>
    <x v="0"/>
    <n v="92"/>
    <n v="25944"/>
    <n v="0.93299999999999994"/>
    <n v="93.3"/>
    <n v="43.9"/>
    <n v="0.6"/>
    <n v="1.1100000000000001"/>
    <n v="0.41"/>
    <n v="0.26400000000000001"/>
    <n v="26.4"/>
    <n v="50"/>
    <n v="23.1"/>
    <n v="395"/>
    <n v="0.24018869186095859"/>
    <n v="0.30424315037542593"/>
    <n v="3316.0493827160494"/>
  </r>
  <r>
    <x v="11"/>
    <x v="0"/>
    <x v="0"/>
    <n v="66.62"/>
    <n v="66620"/>
    <n v="5630.1"/>
    <n v="38.799999999999997"/>
    <n v="111"/>
    <n v="93.7"/>
    <x v="1"/>
    <x v="1"/>
    <n v="94"/>
    <n v="19646"/>
    <n v="0.84299999999999997"/>
    <n v="84.3"/>
    <n v="42.8"/>
    <n v="0.56000000000000005"/>
    <n v="1.24"/>
    <n v="0.48"/>
    <n v="0.28199999999999997"/>
    <n v="28.2"/>
    <n v="53"/>
    <n v="27.1"/>
    <n v="264"/>
    <n v="0.24018869186095859"/>
    <n v="0.30424315037542593"/>
    <n v="1717.0103092783506"/>
  </r>
  <r>
    <x v="12"/>
    <x v="0"/>
    <x v="0"/>
    <n v="82.62"/>
    <n v="82620"/>
    <n v="12256.3"/>
    <n v="25.1"/>
    <n v="78.7"/>
    <n v="125.8"/>
    <x v="0"/>
    <x v="1"/>
    <n v="77"/>
    <n v="13321"/>
    <n v="0.7659999999999999"/>
    <n v="76.599999999999994"/>
    <n v="75.8"/>
    <n v="0.65"/>
    <n v="0.82"/>
    <n v="0"/>
    <n v="0.32799999999999996"/>
    <n v="32.799999999999997"/>
    <n v="56"/>
    <n v="21.3"/>
    <n v="412"/>
    <n v="0.24018869186095859"/>
    <n v="0.30424315037542593"/>
    <n v="3291.6334661354581"/>
  </r>
  <r>
    <x v="13"/>
    <x v="0"/>
    <x v="0"/>
    <n v="102.46"/>
    <n v="102460"/>
    <n v="8695.6"/>
    <n v="7.6"/>
    <n v="25.6"/>
    <n v="77.7"/>
    <x v="3"/>
    <x v="2"/>
    <n v="43"/>
    <n v="5633"/>
    <n v="0.55100000000000005"/>
    <n v="55.1"/>
    <n v="94.4"/>
    <n v="0.78"/>
    <n v="0.88"/>
    <n v="0"/>
    <n v="0.32899999999999996"/>
    <n v="32.9"/>
    <n v="59"/>
    <n v="15.5"/>
    <n v="487"/>
    <n v="0.24018869186095859"/>
    <n v="0.30424315037542593"/>
    <n v="13481.578947368422"/>
  </r>
  <r>
    <x v="14"/>
    <x v="0"/>
    <x v="0"/>
    <n v="127.07"/>
    <n v="127070"/>
    <n v="8576.5"/>
    <n v="59"/>
    <n v="149.4"/>
    <n v="61.3"/>
    <x v="0"/>
    <x v="2"/>
    <n v="5"/>
    <n v="485"/>
    <n v="0.89700000000000002"/>
    <n v="89.7"/>
    <n v="39.200000000000003"/>
    <n v="0.77"/>
    <n v="0.94"/>
    <n v="0"/>
    <n v="0.34799999999999998"/>
    <n v="34.799999999999997"/>
    <n v="62"/>
    <n v="2"/>
    <n v="242"/>
    <n v="0.24018869186095859"/>
    <n v="0.30424315037542593"/>
    <n v="2153.7288135593221"/>
  </r>
  <r>
    <x v="15"/>
    <x v="0"/>
    <x v="0"/>
    <n v="157.58000000000001"/>
    <n v="157580"/>
    <n v="22016"/>
    <n v="53.5"/>
    <n v="163.5"/>
    <n v="107"/>
    <x v="1"/>
    <x v="0"/>
    <n v="79"/>
    <n v="12798"/>
    <n v="0.504"/>
    <n v="50.4"/>
    <n v="32.6"/>
    <n v="0.96"/>
    <n v="1"/>
    <n v="0"/>
    <n v="0.33299999999999996"/>
    <n v="33.299999999999997"/>
    <n v="65"/>
    <n v="15"/>
    <n v="108"/>
    <n v="0.24018869186095859"/>
    <n v="0.30424315037542593"/>
    <n v="2945.4205607476633"/>
  </r>
  <r>
    <x v="0"/>
    <x v="1"/>
    <x v="1"/>
    <n v="14.63"/>
    <n v="14630"/>
    <n v="1387.7"/>
    <n v="59.7"/>
    <n v="110.5"/>
    <n v="32.200000000000003"/>
    <x v="3"/>
    <x v="2"/>
    <n v="18"/>
    <n v="1260"/>
    <n v="0.63900000000000001"/>
    <n v="63.9"/>
    <n v="65.7"/>
    <n v="0.09"/>
    <n v="0.1"/>
    <n v="0"/>
    <n v="6.0999999999999999E-2"/>
    <n v="6.1"/>
    <n v="20"/>
    <n v="3.5"/>
    <n v="452"/>
    <n v="0.10678689064536639"/>
    <n v="0.10206917065973053"/>
    <n v="245.05862646566163"/>
  </r>
  <r>
    <x v="1"/>
    <x v="1"/>
    <x v="1"/>
    <n v="16.190000000000001"/>
    <n v="16190.000000000002"/>
    <n v="1204.8"/>
    <n v="58.4"/>
    <n v="133.6"/>
    <n v="137"/>
    <x v="4"/>
    <x v="1"/>
    <n v="31"/>
    <n v="2356"/>
    <n v="0.72199999999999998"/>
    <n v="72.2"/>
    <n v="39.6"/>
    <n v="0.03"/>
    <n v="0.16"/>
    <n v="0"/>
    <n v="0.10099999999999999"/>
    <n v="10.1"/>
    <n v="23"/>
    <n v="10.8"/>
    <n v="326"/>
    <n v="0.10678689064536639"/>
    <n v="0.10206917065973053"/>
    <n v="277.22602739726034"/>
  </r>
  <r>
    <x v="2"/>
    <x v="1"/>
    <x v="1"/>
    <n v="17.920000000000002"/>
    <n v="17920"/>
    <n v="2273.6"/>
    <n v="4.5"/>
    <n v="15.8"/>
    <n v="86.4"/>
    <x v="1"/>
    <x v="2"/>
    <n v="50"/>
    <n v="8300"/>
    <n v="0.92900000000000005"/>
    <n v="92.9"/>
    <n v="49.8"/>
    <n v="0.24"/>
    <n v="0.22"/>
    <n v="0"/>
    <n v="0.13300000000000001"/>
    <n v="13.3"/>
    <n v="26"/>
    <n v="18.5"/>
    <n v="311"/>
    <n v="0.10678689064536639"/>
    <n v="0.10206917065973053"/>
    <n v="3982.2222222222222"/>
  </r>
  <r>
    <x v="3"/>
    <x v="1"/>
    <x v="1"/>
    <n v="19.84"/>
    <n v="19840"/>
    <n v="1755.8"/>
    <n v="51.4"/>
    <n v="109.6"/>
    <n v="50.3"/>
    <x v="2"/>
    <x v="1"/>
    <n v="29"/>
    <n v="8207"/>
    <n v="0.75700000000000001"/>
    <n v="75.7"/>
    <n v="32.299999999999997"/>
    <n v="0.08"/>
    <n v="0.28000000000000003"/>
    <n v="0"/>
    <n v="0.16600000000000001"/>
    <n v="16.600000000000001"/>
    <n v="29"/>
    <n v="11.1"/>
    <n v="297"/>
    <n v="0.10678689064536639"/>
    <n v="0.10206917065973053"/>
    <n v="385.99221789883268"/>
  </r>
  <r>
    <x v="4"/>
    <x v="1"/>
    <x v="1"/>
    <n v="21.96"/>
    <n v="21960"/>
    <n v="1655.8"/>
    <n v="19.100000000000001"/>
    <n v="41"/>
    <n v="131.80000000000001"/>
    <x v="0"/>
    <x v="0"/>
    <n v="13"/>
    <n v="1196"/>
    <n v="0.8640000000000001"/>
    <n v="86.4"/>
    <n v="85.8"/>
    <n v="0.04"/>
    <n v="0.34"/>
    <n v="0"/>
    <n v="0.19399999999999998"/>
    <n v="19.399999999999999"/>
    <n v="32"/>
    <n v="4.3"/>
    <n v="418"/>
    <n v="0.10678689064536639"/>
    <n v="0.10206917065973053"/>
    <n v="1149.7382198952878"/>
  </r>
  <r>
    <x v="5"/>
    <x v="1"/>
    <x v="1"/>
    <n v="24.3"/>
    <n v="24300"/>
    <n v="1227.5999999999999"/>
    <n v="38.4"/>
    <n v="72.599999999999994"/>
    <n v="38.5"/>
    <x v="3"/>
    <x v="1"/>
    <n v="114"/>
    <n v="22002"/>
    <n v="0.51200000000000001"/>
    <n v="51.2"/>
    <n v="68.400000000000006"/>
    <n v="0.06"/>
    <n v="0.4"/>
    <n v="0"/>
    <n v="0.187"/>
    <n v="18.7"/>
    <n v="35"/>
    <n v="18.5"/>
    <n v="297"/>
    <n v="0.10678689064536639"/>
    <n v="0.10206917065973053"/>
    <n v="632.8125"/>
  </r>
  <r>
    <x v="6"/>
    <x v="1"/>
    <x v="1"/>
    <n v="26.89"/>
    <n v="26890"/>
    <n v="2596.9"/>
    <n v="33.5"/>
    <n v="69.400000000000006"/>
    <n v="100.9"/>
    <x v="3"/>
    <x v="2"/>
    <n v="90"/>
    <n v="8820"/>
    <n v="0.73499999999999999"/>
    <n v="73.5"/>
    <n v="82.7"/>
    <n v="0.16"/>
    <n v="0.46"/>
    <n v="0"/>
    <n v="0.20199999999999999"/>
    <n v="20.2"/>
    <n v="38"/>
    <n v="14.3"/>
    <n v="117"/>
    <n v="0.10678689064536639"/>
    <n v="0.10206917065973053"/>
    <n v="802.68656716417911"/>
  </r>
  <r>
    <x v="7"/>
    <x v="1"/>
    <x v="1"/>
    <n v="29.77"/>
    <n v="29770"/>
    <n v="1642.1"/>
    <n v="32.799999999999997"/>
    <n v="84.7"/>
    <n v="106.5"/>
    <x v="1"/>
    <x v="0"/>
    <n v="56"/>
    <n v="10808"/>
    <n v="0.64500000000000002"/>
    <n v="64.5"/>
    <n v="84.6"/>
    <n v="0.22"/>
    <n v="0.52"/>
    <n v="0"/>
    <n v="0.221"/>
    <n v="22.1"/>
    <n v="41"/>
    <n v="22.1"/>
    <n v="328"/>
    <n v="0.10678689064536639"/>
    <n v="0.10206917065973053"/>
    <n v="907.62195121951231"/>
  </r>
  <r>
    <x v="8"/>
    <x v="1"/>
    <x v="1"/>
    <n v="32.94"/>
    <n v="32940"/>
    <n v="2473.6999999999998"/>
    <n v="12.7"/>
    <n v="21.1"/>
    <n v="81.400000000000006"/>
    <x v="2"/>
    <x v="2"/>
    <n v="16"/>
    <n v="4704"/>
    <n v="0.69900000000000007"/>
    <n v="69.900000000000006"/>
    <n v="43"/>
    <n v="0.42"/>
    <n v="0.57999999999999996"/>
    <n v="0"/>
    <n v="0.22500000000000001"/>
    <n v="22.5"/>
    <n v="44"/>
    <n v="2.6"/>
    <n v="127"/>
    <n v="0.10678689064536639"/>
    <n v="0.10206917065973053"/>
    <n v="2593.7007874015749"/>
  </r>
  <r>
    <x v="9"/>
    <x v="1"/>
    <x v="1"/>
    <n v="36.46"/>
    <n v="36460"/>
    <n v="2843.9"/>
    <n v="57.4"/>
    <n v="170.8"/>
    <n v="96.5"/>
    <x v="1"/>
    <x v="0"/>
    <n v="26"/>
    <n v="3692"/>
    <n v="0.66"/>
    <n v="66"/>
    <n v="81.8"/>
    <n v="0.47"/>
    <n v="0.64"/>
    <n v="0"/>
    <n v="0.27500000000000002"/>
    <n v="27.5"/>
    <n v="47"/>
    <n v="6.6"/>
    <n v="194"/>
    <n v="0.10678689064536639"/>
    <n v="0.10206917065973053"/>
    <n v="635.19163763066206"/>
  </r>
  <r>
    <x v="10"/>
    <x v="1"/>
    <x v="1"/>
    <n v="40.36"/>
    <n v="40360"/>
    <n v="3415.4"/>
    <n v="29"/>
    <n v="81"/>
    <n v="35.799999999999997"/>
    <x v="2"/>
    <x v="0"/>
    <n v="73"/>
    <n v="10877"/>
    <n v="0.92"/>
    <n v="92"/>
    <n v="62.6"/>
    <n v="0.53"/>
    <n v="1.04"/>
    <n v="0.34"/>
    <n v="0.27899999999999997"/>
    <n v="27.9"/>
    <n v="50"/>
    <n v="11.8"/>
    <n v="334"/>
    <n v="0.10678689064536639"/>
    <n v="0.10206917065973053"/>
    <n v="1391.7241379310344"/>
  </r>
  <r>
    <x v="11"/>
    <x v="1"/>
    <x v="1"/>
    <n v="44.67"/>
    <n v="44670"/>
    <n v="6450.9"/>
    <n v="52.3"/>
    <n v="145"/>
    <n v="126.1"/>
    <x v="4"/>
    <x v="2"/>
    <n v="16"/>
    <n v="3632"/>
    <n v="0.86499999999999999"/>
    <n v="86.5"/>
    <n v="86.5"/>
    <n v="0.61"/>
    <n v="1.23"/>
    <n v="0.47"/>
    <n v="0.28600000000000003"/>
    <n v="28.6"/>
    <n v="53"/>
    <n v="4.7"/>
    <n v="277"/>
    <n v="0.10678689064536639"/>
    <n v="0.10206917065973053"/>
    <n v="854.11089866156794"/>
  </r>
  <r>
    <x v="12"/>
    <x v="1"/>
    <x v="1"/>
    <n v="49.44"/>
    <n v="49440"/>
    <n v="6947.4"/>
    <n v="13.4"/>
    <n v="21.9"/>
    <n v="42.1"/>
    <x v="4"/>
    <x v="0"/>
    <n v="6"/>
    <n v="1752"/>
    <n v="0.64400000000000002"/>
    <n v="64.400000000000006"/>
    <n v="88.4"/>
    <n v="0.68"/>
    <n v="0.82"/>
    <n v="0"/>
    <n v="0.29799999999999999"/>
    <n v="29.8"/>
    <n v="56"/>
    <n v="1.8"/>
    <n v="99"/>
    <n v="0.10678689064536639"/>
    <n v="0.10206917065973053"/>
    <n v="3689.5522388059699"/>
  </r>
  <r>
    <x v="13"/>
    <x v="1"/>
    <x v="1"/>
    <n v="54.71"/>
    <n v="54710"/>
    <n v="5449.8"/>
    <n v="42.2"/>
    <n v="92.7"/>
    <n v="142.4"/>
    <x v="4"/>
    <x v="0"/>
    <n v="40"/>
    <n v="10640"/>
    <n v="0.69099999999999995"/>
    <n v="69.099999999999994"/>
    <n v="67.599999999999994"/>
    <n v="0.68"/>
    <n v="0.88"/>
    <n v="0"/>
    <n v="0.3"/>
    <n v="30"/>
    <n v="59"/>
    <n v="14"/>
    <n v="236"/>
    <n v="0.10678689064536639"/>
    <n v="0.10206917065973053"/>
    <n v="1296.4454976303316"/>
  </r>
  <r>
    <x v="14"/>
    <x v="1"/>
    <x v="1"/>
    <n v="60.56"/>
    <n v="60560"/>
    <n v="5280.7"/>
    <n v="47"/>
    <n v="102.6"/>
    <n v="141.69999999999999"/>
    <x v="0"/>
    <x v="1"/>
    <n v="41"/>
    <n v="2501"/>
    <n v="0.84"/>
    <n v="84"/>
    <n v="32.700000000000003"/>
    <n v="0.82"/>
    <n v="0.94"/>
    <n v="0"/>
    <n v="0.33600000000000002"/>
    <n v="33.6"/>
    <n v="62"/>
    <n v="10.5"/>
    <n v="282"/>
    <n v="0.10678689064536639"/>
    <n v="0.10206917065973053"/>
    <n v="1288.5106382978724"/>
  </r>
  <r>
    <x v="15"/>
    <x v="1"/>
    <x v="1"/>
    <n v="67.02"/>
    <n v="67020"/>
    <n v="5962.5"/>
    <n v="19.3"/>
    <n v="32.700000000000003"/>
    <n v="36.4"/>
    <x v="4"/>
    <x v="1"/>
    <n v="65"/>
    <n v="18330"/>
    <n v="0.93099999999999994"/>
    <n v="93.1"/>
    <n v="75.8"/>
    <n v="0.88"/>
    <n v="1"/>
    <n v="0"/>
    <n v="0.41499999999999998"/>
    <n v="41.5"/>
    <n v="65"/>
    <n v="23.5"/>
    <n v="61"/>
    <n v="0.10678689064536639"/>
    <n v="0.10206917065973053"/>
    <n v="3472.538860103627"/>
  </r>
  <r>
    <x v="0"/>
    <x v="2"/>
    <x v="1"/>
    <n v="9.0299999999999994"/>
    <n v="9030"/>
    <n v="748.1"/>
    <n v="41"/>
    <n v="123.2"/>
    <n v="125"/>
    <x v="2"/>
    <x v="0"/>
    <n v="61"/>
    <n v="5368"/>
    <n v="0.52600000000000002"/>
    <n v="52.6"/>
    <n v="66.2"/>
    <n v="0.01"/>
    <n v="0.1"/>
    <n v="0"/>
    <n v="9.0999999999999998E-2"/>
    <n v="9.1"/>
    <n v="20"/>
    <n v="10.5"/>
    <n v="142"/>
    <n v="0.17634741332561998"/>
    <n v="0.21788854984795458"/>
    <n v="220.2439024390244"/>
  </r>
  <r>
    <x v="1"/>
    <x v="2"/>
    <x v="1"/>
    <n v="10.62"/>
    <n v="10620"/>
    <n v="1280.5999999999999"/>
    <n v="58.2"/>
    <n v="167.3"/>
    <n v="130.4"/>
    <x v="0"/>
    <x v="0"/>
    <n v="21"/>
    <n v="5859"/>
    <n v="0.67799999999999994"/>
    <n v="67.8"/>
    <n v="91.9"/>
    <n v="0.12"/>
    <n v="0.16"/>
    <n v="0"/>
    <n v="0.15"/>
    <n v="15"/>
    <n v="23"/>
    <n v="3.6"/>
    <n v="203"/>
    <n v="0.17634741332561998"/>
    <n v="0.21788854984795458"/>
    <n v="182.4742268041237"/>
  </r>
  <r>
    <x v="2"/>
    <x v="2"/>
    <x v="1"/>
    <n v="12.49"/>
    <n v="12490"/>
    <n v="1808.1"/>
    <n v="59.2"/>
    <n v="178"/>
    <n v="75.2"/>
    <x v="3"/>
    <x v="0"/>
    <n v="35"/>
    <n v="2380"/>
    <n v="0.90799999999999992"/>
    <n v="90.8"/>
    <n v="33.299999999999997"/>
    <n v="0.16"/>
    <n v="0.22"/>
    <n v="0"/>
    <n v="0.124"/>
    <n v="12.4"/>
    <n v="26"/>
    <n v="12.1"/>
    <n v="460"/>
    <n v="0.17634741332561998"/>
    <n v="0.21788854984795458"/>
    <n v="210.97972972972971"/>
  </r>
  <r>
    <x v="3"/>
    <x v="2"/>
    <x v="1"/>
    <n v="14.7"/>
    <n v="14700"/>
    <n v="1574.7"/>
    <n v="45"/>
    <n v="136.5"/>
    <n v="128.69999999999999"/>
    <x v="1"/>
    <x v="0"/>
    <n v="43"/>
    <n v="2150"/>
    <n v="0.68"/>
    <n v="68"/>
    <n v="60.8"/>
    <n v="7.0000000000000007E-2"/>
    <n v="0.28000000000000003"/>
    <n v="0"/>
    <n v="0.12"/>
    <n v="12"/>
    <n v="29"/>
    <n v="13.8"/>
    <n v="418"/>
    <n v="0.17634741332561998"/>
    <n v="0.21788854984795458"/>
    <n v="326.66666666666669"/>
  </r>
  <r>
    <x v="4"/>
    <x v="2"/>
    <x v="1"/>
    <n v="17.29"/>
    <n v="17290"/>
    <n v="2529.8000000000002"/>
    <n v="2.7"/>
    <n v="9.3000000000000007"/>
    <n v="35.200000000000003"/>
    <x v="3"/>
    <x v="2"/>
    <n v="25"/>
    <n v="3225"/>
    <n v="0.61399999999999999"/>
    <n v="61.4"/>
    <n v="77.2"/>
    <n v="0.08"/>
    <n v="0.34"/>
    <n v="0"/>
    <n v="0.17600000000000002"/>
    <n v="17.600000000000001"/>
    <n v="32"/>
    <n v="7"/>
    <n v="450"/>
    <n v="0.17634741332561998"/>
    <n v="0.21788854984795458"/>
    <n v="6403.7037037037035"/>
  </r>
  <r>
    <x v="5"/>
    <x v="2"/>
    <x v="1"/>
    <n v="20.34"/>
    <n v="20340"/>
    <n v="2431.9"/>
    <n v="28.4"/>
    <n v="78.099999999999994"/>
    <n v="100.1"/>
    <x v="1"/>
    <x v="0"/>
    <n v="20"/>
    <n v="5280"/>
    <n v="0.92799999999999994"/>
    <n v="92.8"/>
    <n v="91.8"/>
    <n v="0.21"/>
    <n v="0.4"/>
    <n v="0"/>
    <n v="0.191"/>
    <n v="19.100000000000001"/>
    <n v="35"/>
    <n v="3.2"/>
    <n v="469"/>
    <n v="0.17634741332561998"/>
    <n v="0.21788854984795458"/>
    <n v="716.19718309859161"/>
  </r>
  <r>
    <x v="6"/>
    <x v="2"/>
    <x v="1"/>
    <n v="23.93"/>
    <n v="23930"/>
    <n v="1602.2"/>
    <n v="39.5"/>
    <n v="90"/>
    <n v="57.5"/>
    <x v="1"/>
    <x v="1"/>
    <n v="32"/>
    <n v="8608"/>
    <n v="0.81400000000000006"/>
    <n v="81.400000000000006"/>
    <n v="65.2"/>
    <n v="0.16"/>
    <n v="0.46"/>
    <n v="0"/>
    <n v="0.185"/>
    <n v="18.5"/>
    <n v="38"/>
    <n v="7.7"/>
    <n v="426"/>
    <n v="0.17634741332561998"/>
    <n v="0.21788854984795458"/>
    <n v="605.82278481012656"/>
  </r>
  <r>
    <x v="7"/>
    <x v="2"/>
    <x v="1"/>
    <n v="28.14"/>
    <n v="28140"/>
    <n v="2169.8000000000002"/>
    <n v="9.6999999999999993"/>
    <n v="16.100000000000001"/>
    <n v="142.9"/>
    <x v="2"/>
    <x v="0"/>
    <n v="119"/>
    <n v="29274"/>
    <n v="0.92"/>
    <n v="92"/>
    <n v="90"/>
    <n v="0.35"/>
    <n v="0.52"/>
    <n v="0"/>
    <n v="0.187"/>
    <n v="18.7"/>
    <n v="41"/>
    <n v="36.1"/>
    <n v="374"/>
    <n v="0.17634741332561998"/>
    <n v="0.21788854984795458"/>
    <n v="2901.0309278350519"/>
  </r>
  <r>
    <x v="8"/>
    <x v="2"/>
    <x v="1"/>
    <n v="33.11"/>
    <n v="33110"/>
    <n v="4230"/>
    <n v="29.9"/>
    <n v="103.6"/>
    <n v="75.2"/>
    <x v="3"/>
    <x v="1"/>
    <n v="30"/>
    <n v="3360"/>
    <n v="0.75599999999999989"/>
    <n v="75.599999999999994"/>
    <n v="29.8"/>
    <n v="0.32"/>
    <n v="0.57999999999999996"/>
    <n v="0"/>
    <n v="0.21"/>
    <n v="21"/>
    <n v="44"/>
    <n v="7.4"/>
    <n v="114"/>
    <n v="0.17634741332561998"/>
    <n v="0.21788854984795458"/>
    <n v="1107.3578595317726"/>
  </r>
  <r>
    <x v="9"/>
    <x v="2"/>
    <x v="1"/>
    <n v="38.950000000000003"/>
    <n v="38950"/>
    <n v="2167"/>
    <n v="52.2"/>
    <n v="163"/>
    <n v="150"/>
    <x v="0"/>
    <x v="2"/>
    <n v="106"/>
    <n v="5512"/>
    <n v="0.92500000000000004"/>
    <n v="92.5"/>
    <n v="88.7"/>
    <n v="0.34"/>
    <n v="0.64"/>
    <n v="0"/>
    <n v="0.23800000000000002"/>
    <n v="23.8"/>
    <n v="47"/>
    <n v="30.6"/>
    <n v="154"/>
    <n v="0.17634741332561998"/>
    <n v="0.21788854984795458"/>
    <n v="746.16858237547888"/>
  </r>
  <r>
    <x v="10"/>
    <x v="2"/>
    <x v="1"/>
    <n v="45.82"/>
    <n v="45820"/>
    <n v="3549.6"/>
    <n v="14"/>
    <n v="45.7"/>
    <n v="120.8"/>
    <x v="2"/>
    <x v="0"/>
    <n v="38"/>
    <n v="5358"/>
    <n v="0.7340000000000001"/>
    <n v="73.400000000000006"/>
    <n v="82.9"/>
    <n v="0.47"/>
    <n v="1"/>
    <n v="0.3"/>
    <n v="0.251"/>
    <n v="25.1"/>
    <n v="50"/>
    <n v="8.3000000000000007"/>
    <n v="388"/>
    <n v="0.17634741332561998"/>
    <n v="0.21788854984795458"/>
    <n v="3272.8571428571427"/>
  </r>
  <r>
    <x v="11"/>
    <x v="2"/>
    <x v="1"/>
    <n v="53.9"/>
    <n v="53900"/>
    <n v="4961.5"/>
    <n v="47.5"/>
    <n v="132"/>
    <n v="126.6"/>
    <x v="2"/>
    <x v="0"/>
    <n v="107"/>
    <n v="23005"/>
    <n v="0.77400000000000002"/>
    <n v="77.400000000000006"/>
    <n v="72.7"/>
    <n v="0.55000000000000004"/>
    <n v="1.08"/>
    <n v="0.32"/>
    <n v="0.33399999999999996"/>
    <n v="33.4"/>
    <n v="53"/>
    <n v="32.6"/>
    <n v="344"/>
    <n v="0.17634741332561998"/>
    <n v="0.21788854984795458"/>
    <n v="1134.7368421052631"/>
  </r>
  <r>
    <x v="12"/>
    <x v="2"/>
    <x v="1"/>
    <n v="63.4"/>
    <n v="63400"/>
    <n v="5378.2"/>
    <n v="31.8"/>
    <n v="97.6"/>
    <n v="77.599999999999994"/>
    <x v="0"/>
    <x v="0"/>
    <n v="110"/>
    <n v="11000"/>
    <n v="0.91700000000000004"/>
    <n v="91.7"/>
    <n v="61.9"/>
    <n v="0.7"/>
    <n v="0.82"/>
    <n v="0"/>
    <n v="0.29699999999999999"/>
    <n v="29.7"/>
    <n v="56"/>
    <n v="35.700000000000003"/>
    <n v="349"/>
    <n v="0.17634741332561998"/>
    <n v="0.21788854984795458"/>
    <n v="1993.7106918238994"/>
  </r>
  <r>
    <x v="13"/>
    <x v="2"/>
    <x v="1"/>
    <n v="74.59"/>
    <n v="74590"/>
    <n v="7403.5"/>
    <n v="21.1"/>
    <n v="58.3"/>
    <n v="58.8"/>
    <x v="3"/>
    <x v="0"/>
    <n v="119"/>
    <n v="19040"/>
    <n v="0.81400000000000006"/>
    <n v="81.400000000000006"/>
    <n v="38.5"/>
    <n v="0.76"/>
    <n v="0.88"/>
    <n v="0"/>
    <n v="0.316"/>
    <n v="31.6"/>
    <n v="59"/>
    <n v="21.7"/>
    <n v="397"/>
    <n v="0.17634741332561998"/>
    <n v="0.21788854984795458"/>
    <n v="3535.0710900473932"/>
  </r>
  <r>
    <x v="14"/>
    <x v="2"/>
    <x v="1"/>
    <n v="87.74"/>
    <n v="87740"/>
    <n v="8545.6"/>
    <n v="40.700000000000003"/>
    <n v="75.099999999999994"/>
    <n v="53.1"/>
    <x v="1"/>
    <x v="0"/>
    <n v="23"/>
    <n v="1610"/>
    <n v="0.57999999999999996"/>
    <n v="58"/>
    <n v="31.7"/>
    <n v="0.86"/>
    <n v="0.94"/>
    <n v="0"/>
    <n v="0.32799999999999996"/>
    <n v="32.799999999999997"/>
    <n v="62"/>
    <n v="4.4000000000000004"/>
    <n v="10"/>
    <n v="0.17634741332561998"/>
    <n v="0.21788854984795458"/>
    <n v="2155.7739557739555"/>
  </r>
  <r>
    <x v="15"/>
    <x v="2"/>
    <x v="1"/>
    <n v="103.21"/>
    <n v="103210"/>
    <n v="14390.4"/>
    <n v="9.5"/>
    <n v="20.5"/>
    <n v="68.599999999999994"/>
    <x v="3"/>
    <x v="1"/>
    <n v="30"/>
    <n v="8940"/>
    <n v="0.67"/>
    <n v="67"/>
    <n v="25.2"/>
    <n v="0.79"/>
    <n v="1"/>
    <n v="0"/>
    <n v="0.36"/>
    <n v="36"/>
    <n v="65"/>
    <n v="8.1"/>
    <n v="301"/>
    <n v="0.17634741332561998"/>
    <n v="0.21788854984795458"/>
    <n v="10864.21052631579"/>
  </r>
  <r>
    <x v="0"/>
    <x v="3"/>
    <x v="1"/>
    <n v="12.29"/>
    <n v="12290"/>
    <n v="1069.5"/>
    <n v="30.1"/>
    <n v="82.4"/>
    <n v="74.3"/>
    <x v="3"/>
    <x v="1"/>
    <n v="92"/>
    <n v="16468"/>
    <n v="0.82099999999999995"/>
    <n v="82.1"/>
    <n v="92.1"/>
    <n v="7.0000000000000007E-2"/>
    <n v="0.1"/>
    <n v="0"/>
    <n v="8.8000000000000009E-2"/>
    <n v="8.8000000000000007"/>
    <n v="20"/>
    <n v="31"/>
    <n v="247"/>
    <n v="0.19963066684598241"/>
    <n v="0.24313373854624309"/>
    <n v="408.30564784053155"/>
  </r>
  <r>
    <x v="1"/>
    <x v="3"/>
    <x v="1"/>
    <n v="14.74"/>
    <n v="14740"/>
    <n v="1322.4"/>
    <n v="8.1"/>
    <n v="24"/>
    <n v="51.9"/>
    <x v="2"/>
    <x v="0"/>
    <n v="43"/>
    <n v="10062"/>
    <n v="0.55399999999999994"/>
    <n v="55.4"/>
    <n v="91.8"/>
    <n v="0.08"/>
    <n v="0.16"/>
    <n v="0"/>
    <n v="0.13500000000000001"/>
    <n v="13.5"/>
    <n v="23"/>
    <n v="15.5"/>
    <n v="221"/>
    <n v="0.19963066684598241"/>
    <n v="0.24313373854624309"/>
    <n v="1819.7530864197531"/>
  </r>
  <r>
    <x v="2"/>
    <x v="3"/>
    <x v="1"/>
    <n v="17.68"/>
    <n v="17680"/>
    <n v="2031.4"/>
    <n v="29.8"/>
    <n v="79.599999999999994"/>
    <n v="118.4"/>
    <x v="1"/>
    <x v="1"/>
    <n v="115"/>
    <n v="6555"/>
    <n v="0.67"/>
    <n v="67"/>
    <n v="50.3"/>
    <n v="-0.01"/>
    <n v="0.22"/>
    <n v="0"/>
    <n v="0.126"/>
    <n v="12.6"/>
    <n v="26"/>
    <n v="34.1"/>
    <n v="189"/>
    <n v="0.19963066684598241"/>
    <n v="0.24313373854624309"/>
    <n v="593.28859060402681"/>
  </r>
  <r>
    <x v="3"/>
    <x v="3"/>
    <x v="1"/>
    <n v="21.21"/>
    <n v="21210"/>
    <n v="1816.1"/>
    <n v="59.2"/>
    <n v="160.6"/>
    <n v="58.5"/>
    <x v="1"/>
    <x v="0"/>
    <n v="26"/>
    <n v="1820"/>
    <n v="0.58399999999999996"/>
    <n v="58.4"/>
    <n v="46.4"/>
    <n v="0.15"/>
    <n v="0.28000000000000003"/>
    <n v="0"/>
    <n v="0.188"/>
    <n v="18.8"/>
    <n v="29"/>
    <n v="4.9000000000000004"/>
    <n v="104"/>
    <n v="0.19963066684598241"/>
    <n v="0.24313373854624309"/>
    <n v="358.27702702702703"/>
  </r>
  <r>
    <x v="4"/>
    <x v="3"/>
    <x v="1"/>
    <n v="25.45"/>
    <n v="25450"/>
    <n v="3607"/>
    <n v="2.2999999999999998"/>
    <n v="8"/>
    <n v="88.9"/>
    <x v="2"/>
    <x v="1"/>
    <n v="106"/>
    <n v="24168"/>
    <n v="0.74099999999999999"/>
    <n v="74.099999999999994"/>
    <n v="60.7"/>
    <n v="0.11"/>
    <n v="0.34"/>
    <n v="0"/>
    <n v="0.185"/>
    <n v="18.5"/>
    <n v="32"/>
    <n v="37.700000000000003"/>
    <n v="182"/>
    <n v="0.19963066684598241"/>
    <n v="0.24313373854624309"/>
    <n v="11065.217391304348"/>
  </r>
  <r>
    <x v="5"/>
    <x v="3"/>
    <x v="1"/>
    <n v="30.53"/>
    <n v="30530"/>
    <n v="2514.6"/>
    <n v="26.7"/>
    <n v="67.099999999999994"/>
    <n v="59.1"/>
    <x v="0"/>
    <x v="0"/>
    <n v="51"/>
    <n v="2550"/>
    <n v="0.56899999999999995"/>
    <n v="56.9"/>
    <n v="61.1"/>
    <n v="7.0000000000000007E-2"/>
    <n v="0.4"/>
    <n v="0"/>
    <n v="0.19500000000000001"/>
    <n v="19.5"/>
    <n v="35"/>
    <n v="15.4"/>
    <n v="268"/>
    <n v="0.19963066684598241"/>
    <n v="0.24313373854624309"/>
    <n v="1143.4456928838952"/>
  </r>
  <r>
    <x v="6"/>
    <x v="3"/>
    <x v="1"/>
    <n v="36.619999999999997"/>
    <n v="36620"/>
    <n v="2323.5"/>
    <n v="5.7"/>
    <n v="19.8"/>
    <n v="68.7"/>
    <x v="0"/>
    <x v="2"/>
    <n v="6"/>
    <n v="798"/>
    <n v="0.84200000000000008"/>
    <n v="84.2"/>
    <n v="69.7"/>
    <n v="0.17"/>
    <n v="0.46"/>
    <n v="0"/>
    <n v="0.192"/>
    <n v="19.2"/>
    <n v="38"/>
    <n v="1.3"/>
    <n v="417"/>
    <n v="0.19963066684598241"/>
    <n v="0.24313373854624309"/>
    <n v="6424.5614035087719"/>
  </r>
  <r>
    <x v="7"/>
    <x v="3"/>
    <x v="1"/>
    <n v="43.94"/>
    <n v="43940"/>
    <n v="2665.6"/>
    <n v="51.3"/>
    <n v="153.6"/>
    <n v="79"/>
    <x v="3"/>
    <x v="1"/>
    <n v="79"/>
    <n v="14694"/>
    <n v="0.91700000000000004"/>
    <n v="91.7"/>
    <n v="79.099999999999994"/>
    <n v="0.32"/>
    <n v="0.52"/>
    <n v="0"/>
    <n v="0.22600000000000001"/>
    <n v="22.6"/>
    <n v="41"/>
    <n v="15.9"/>
    <n v="69"/>
    <n v="0.19963066684598241"/>
    <n v="0.24313373854624309"/>
    <n v="856.53021442495128"/>
  </r>
  <r>
    <x v="8"/>
    <x v="3"/>
    <x v="1"/>
    <n v="52.71"/>
    <n v="52710"/>
    <n v="6827.2"/>
    <n v="13.7"/>
    <n v="25"/>
    <n v="49.7"/>
    <x v="2"/>
    <x v="0"/>
    <n v="9"/>
    <n v="1188"/>
    <n v="0.66099999999999992"/>
    <n v="66.099999999999994"/>
    <n v="90.8"/>
    <n v="0.33"/>
    <n v="0.57999999999999996"/>
    <n v="0"/>
    <n v="0.23600000000000002"/>
    <n v="23.6"/>
    <n v="44"/>
    <n v="2.8"/>
    <n v="98"/>
    <n v="0.19963066684598241"/>
    <n v="0.24313373854624309"/>
    <n v="3847.4452554744526"/>
  </r>
  <r>
    <x v="9"/>
    <x v="3"/>
    <x v="1"/>
    <n v="63.23"/>
    <n v="63230"/>
    <n v="7675"/>
    <n v="54.2"/>
    <n v="148.9"/>
    <n v="94.8"/>
    <x v="4"/>
    <x v="2"/>
    <n v="67"/>
    <n v="12864"/>
    <n v="0.67599999999999993"/>
    <n v="67.599999999999994"/>
    <n v="64.900000000000006"/>
    <n v="0.39"/>
    <n v="0.64"/>
    <n v="0"/>
    <n v="0.28800000000000003"/>
    <n v="28.8"/>
    <n v="47"/>
    <n v="19.7"/>
    <n v="318"/>
    <n v="0.19963066684598241"/>
    <n v="0.24313373854624309"/>
    <n v="1166.6051660516605"/>
  </r>
  <r>
    <x v="10"/>
    <x v="3"/>
    <x v="1"/>
    <n v="75.86"/>
    <n v="75860"/>
    <n v="10922"/>
    <n v="38.4"/>
    <n v="83.3"/>
    <n v="46.7"/>
    <x v="1"/>
    <x v="0"/>
    <n v="19"/>
    <n v="3040"/>
    <n v="0.90200000000000002"/>
    <n v="90.2"/>
    <n v="84.1"/>
    <n v="0.46"/>
    <n v="1.26"/>
    <n v="0.56000000000000005"/>
    <n v="0.27200000000000002"/>
    <n v="27.2"/>
    <n v="50"/>
    <n v="5.8"/>
    <n v="47"/>
    <n v="0.19963066684598241"/>
    <n v="0.24313373854624309"/>
    <n v="1975.5208333333335"/>
  </r>
  <r>
    <x v="11"/>
    <x v="3"/>
    <x v="1"/>
    <n v="91"/>
    <n v="91000"/>
    <n v="5852.5"/>
    <n v="13.9"/>
    <n v="40.6"/>
    <n v="89.3"/>
    <x v="0"/>
    <x v="1"/>
    <n v="78"/>
    <n v="11388"/>
    <n v="0.67"/>
    <n v="67"/>
    <n v="59.3"/>
    <n v="0.63"/>
    <n v="1.26"/>
    <n v="0.5"/>
    <n v="0.29799999999999999"/>
    <n v="29.8"/>
    <n v="53"/>
    <n v="13.7"/>
    <n v="445"/>
    <n v="0.19963066684598241"/>
    <n v="0.24313373854624309"/>
    <n v="6546.7625899280574"/>
  </r>
  <r>
    <x v="12"/>
    <x v="3"/>
    <x v="1"/>
    <n v="109.17"/>
    <n v="109170"/>
    <n v="7095.1"/>
    <n v="15.3"/>
    <n v="45"/>
    <n v="116.4"/>
    <x v="1"/>
    <x v="0"/>
    <n v="99"/>
    <n v="16236"/>
    <n v="0.61299999999999999"/>
    <n v="61.3"/>
    <n v="50.9"/>
    <n v="0.72"/>
    <n v="0.82"/>
    <n v="0"/>
    <n v="0.29100000000000004"/>
    <n v="29.1"/>
    <n v="56"/>
    <n v="32"/>
    <n v="20"/>
    <n v="0.19963066684598241"/>
    <n v="0.24313373854624309"/>
    <n v="7135.2941176470586"/>
  </r>
  <r>
    <x v="13"/>
    <x v="3"/>
    <x v="1"/>
    <n v="130.97"/>
    <n v="130970"/>
    <n v="9525.7999999999993"/>
    <n v="26.6"/>
    <n v="55.2"/>
    <n v="103.8"/>
    <x v="2"/>
    <x v="2"/>
    <n v="94"/>
    <n v="17860"/>
    <n v="0.61499999999999999"/>
    <n v="61.5"/>
    <n v="79.5"/>
    <n v="0.73"/>
    <n v="0.88"/>
    <n v="0"/>
    <n v="0.32299999999999995"/>
    <n v="32.299999999999997"/>
    <n v="59"/>
    <n v="17.399999999999999"/>
    <n v="180"/>
    <n v="0.19963066684598241"/>
    <n v="0.24313373854624309"/>
    <n v="4923.6842105263158"/>
  </r>
  <r>
    <x v="14"/>
    <x v="3"/>
    <x v="1"/>
    <n v="157.11000000000001"/>
    <n v="157110"/>
    <n v="18801"/>
    <n v="55.5"/>
    <n v="161.80000000000001"/>
    <n v="48.3"/>
    <x v="3"/>
    <x v="2"/>
    <n v="96"/>
    <n v="7680"/>
    <n v="0.54700000000000004"/>
    <n v="54.7"/>
    <n v="88"/>
    <n v="0.83"/>
    <n v="0.94"/>
    <n v="0"/>
    <n v="0.34799999999999998"/>
    <n v="34.799999999999997"/>
    <n v="62"/>
    <n v="29"/>
    <n v="276"/>
    <n v="0.19963066684598241"/>
    <n v="0.24313373854624309"/>
    <n v="2830.8108108108108"/>
  </r>
  <r>
    <x v="15"/>
    <x v="3"/>
    <x v="1"/>
    <n v="188.48"/>
    <n v="188480"/>
    <n v="27986.5"/>
    <n v="50.7"/>
    <n v="88.6"/>
    <n v="140.5"/>
    <x v="0"/>
    <x v="1"/>
    <n v="67"/>
    <n v="15477"/>
    <n v="0.52500000000000002"/>
    <n v="52.5"/>
    <n v="50.1"/>
    <n v="0.85"/>
    <n v="1"/>
    <n v="0"/>
    <n v="0.34700000000000003"/>
    <n v="34.700000000000003"/>
    <n v="65"/>
    <n v="18.7"/>
    <n v="445"/>
    <n v="0.19963066684598241"/>
    <n v="0.24313373854624309"/>
    <n v="3717.5542406311633"/>
  </r>
  <r>
    <x v="0"/>
    <x v="4"/>
    <x v="2"/>
    <n v="12.03"/>
    <n v="12030"/>
    <n v="1640.2"/>
    <n v="55.5"/>
    <n v="135"/>
    <n v="87.7"/>
    <x v="3"/>
    <x v="1"/>
    <n v="95"/>
    <n v="6270"/>
    <n v="0.56299999999999994"/>
    <n v="56.3"/>
    <n v="38.200000000000003"/>
    <n v="0.09"/>
    <n v="0.1"/>
    <n v="0"/>
    <n v="8.1000000000000003E-2"/>
    <n v="8.1"/>
    <n v="20"/>
    <n v="28.2"/>
    <n v="464"/>
    <n v="0.17074063947425855"/>
    <n v="0.10120107004834433"/>
    <n v="216.75675675675674"/>
  </r>
  <r>
    <x v="1"/>
    <x v="4"/>
    <x v="2"/>
    <n v="14.08"/>
    <n v="14080"/>
    <n v="1095.0999999999999"/>
    <n v="14.8"/>
    <n v="28.4"/>
    <n v="91.8"/>
    <x v="1"/>
    <x v="0"/>
    <n v="85"/>
    <n v="11305"/>
    <n v="0.88700000000000001"/>
    <n v="88.7"/>
    <n v="65.099999999999994"/>
    <n v="0.15"/>
    <n v="0.16"/>
    <n v="0"/>
    <n v="0.10300000000000001"/>
    <n v="10.3"/>
    <n v="23"/>
    <n v="22.5"/>
    <n v="369"/>
    <n v="0.17074063947425855"/>
    <n v="0.10120107004834433"/>
    <n v="951.35135135135135"/>
  </r>
  <r>
    <x v="2"/>
    <x v="4"/>
    <x v="2"/>
    <n v="16.489999999999998"/>
    <n v="16490"/>
    <n v="935"/>
    <n v="45.5"/>
    <n v="87.3"/>
    <n v="137.80000000000001"/>
    <x v="0"/>
    <x v="2"/>
    <n v="36"/>
    <n v="7452"/>
    <n v="0.71200000000000008"/>
    <n v="71.2"/>
    <n v="67.400000000000006"/>
    <n v="0.23"/>
    <n v="0.22"/>
    <n v="0"/>
    <n v="0.13500000000000001"/>
    <n v="13.5"/>
    <n v="26"/>
    <n v="7.1"/>
    <n v="27"/>
    <n v="0.17074063947425855"/>
    <n v="0.10120107004834433"/>
    <n v="362.41758241758242"/>
  </r>
  <r>
    <x v="3"/>
    <x v="4"/>
    <x v="2"/>
    <n v="19.3"/>
    <n v="19300"/>
    <n v="1983.6"/>
    <n v="33"/>
    <n v="81.2"/>
    <n v="89.6"/>
    <x v="0"/>
    <x v="1"/>
    <n v="55"/>
    <n v="6160"/>
    <n v="0.92599999999999993"/>
    <n v="92.6"/>
    <n v="53"/>
    <n v="0.15"/>
    <n v="0.28000000000000003"/>
    <n v="0"/>
    <n v="0.13"/>
    <n v="13"/>
    <n v="29"/>
    <n v="9.6999999999999993"/>
    <n v="467"/>
    <n v="0.17074063947425855"/>
    <n v="0.10120107004834433"/>
    <n v="584.84848484848487"/>
  </r>
  <r>
    <x v="4"/>
    <x v="4"/>
    <x v="2"/>
    <n v="22.6"/>
    <n v="22600"/>
    <n v="2939.5"/>
    <n v="58.8"/>
    <n v="186.9"/>
    <n v="134"/>
    <x v="3"/>
    <x v="1"/>
    <n v="12"/>
    <n v="1368"/>
    <n v="0.80200000000000005"/>
    <n v="80.2"/>
    <n v="26.5"/>
    <n v="0.1"/>
    <n v="0.34"/>
    <n v="0"/>
    <n v="0.18600000000000003"/>
    <n v="18.600000000000001"/>
    <n v="32"/>
    <n v="3.5"/>
    <n v="63"/>
    <n v="0.17074063947425855"/>
    <n v="0.10120107004834433"/>
    <n v="384.35374149659867"/>
  </r>
  <r>
    <x v="5"/>
    <x v="4"/>
    <x v="2"/>
    <n v="26.46"/>
    <n v="26460"/>
    <n v="3670.8"/>
    <n v="34.299999999999997"/>
    <n v="100.9"/>
    <n v="126.6"/>
    <x v="3"/>
    <x v="2"/>
    <n v="92"/>
    <n v="11684"/>
    <n v="0.56299999999999994"/>
    <n v="56.3"/>
    <n v="55.5"/>
    <n v="0.14000000000000001"/>
    <n v="0.4"/>
    <n v="0"/>
    <n v="0.14599999999999999"/>
    <n v="14.6"/>
    <n v="35"/>
    <n v="27.7"/>
    <n v="320"/>
    <n v="0.17074063947425855"/>
    <n v="0.10120107004834433"/>
    <n v="771.42857142857144"/>
  </r>
  <r>
    <x v="6"/>
    <x v="4"/>
    <x v="2"/>
    <n v="30.97"/>
    <n v="30970"/>
    <n v="4313.7"/>
    <n v="49.4"/>
    <n v="107.9"/>
    <n v="61.1"/>
    <x v="1"/>
    <x v="2"/>
    <n v="6"/>
    <n v="1464"/>
    <n v="0.65500000000000003"/>
    <n v="65.5"/>
    <n v="83"/>
    <n v="0.1"/>
    <n v="0.46"/>
    <n v="0"/>
    <n v="0.23499999999999999"/>
    <n v="23.5"/>
    <n v="38"/>
    <n v="1.8"/>
    <n v="402"/>
    <n v="0.17074063947425855"/>
    <n v="0.10120107004834433"/>
    <n v="626.92307692307691"/>
  </r>
  <r>
    <x v="7"/>
    <x v="4"/>
    <x v="2"/>
    <n v="36.26"/>
    <n v="36260"/>
    <n v="5252.6"/>
    <n v="46.3"/>
    <n v="82.4"/>
    <n v="134.19999999999999"/>
    <x v="4"/>
    <x v="0"/>
    <n v="63"/>
    <n v="18081"/>
    <n v="0.51"/>
    <n v="51"/>
    <n v="45.2"/>
    <n v="0.17"/>
    <n v="0.52"/>
    <n v="0"/>
    <n v="0.20600000000000002"/>
    <n v="20.6"/>
    <n v="41"/>
    <n v="16.899999999999999"/>
    <n v="49"/>
    <n v="0.17074063947425855"/>
    <n v="0.10120107004834433"/>
    <n v="783.15334773218149"/>
  </r>
  <r>
    <x v="8"/>
    <x v="4"/>
    <x v="2"/>
    <n v="42.45"/>
    <n v="42450"/>
    <n v="3048.4"/>
    <n v="39.4"/>
    <n v="92.4"/>
    <n v="45.9"/>
    <x v="0"/>
    <x v="1"/>
    <n v="33"/>
    <n v="5214"/>
    <n v="0.87"/>
    <n v="87"/>
    <n v="64.7"/>
    <n v="0.3"/>
    <n v="0.57999999999999996"/>
    <n v="0"/>
    <n v="0.26600000000000001"/>
    <n v="26.6"/>
    <n v="44"/>
    <n v="10.7"/>
    <n v="51"/>
    <n v="0.17074063947425855"/>
    <n v="0.10120107004834433"/>
    <n v="1077.4111675126903"/>
  </r>
  <r>
    <x v="9"/>
    <x v="4"/>
    <x v="2"/>
    <n v="49.7"/>
    <n v="49700"/>
    <n v="5239.7"/>
    <n v="39.799999999999997"/>
    <n v="125.7"/>
    <n v="54.8"/>
    <x v="4"/>
    <x v="1"/>
    <n v="110"/>
    <n v="14850"/>
    <n v="0.89300000000000002"/>
    <n v="89.3"/>
    <n v="69.8"/>
    <n v="0.34"/>
    <n v="0.64"/>
    <n v="0"/>
    <n v="0.26100000000000001"/>
    <n v="26.1"/>
    <n v="47"/>
    <n v="20.3"/>
    <n v="277"/>
    <n v="0.17074063947425855"/>
    <n v="0.10120107004834433"/>
    <n v="1248.743718592965"/>
  </r>
  <r>
    <x v="10"/>
    <x v="4"/>
    <x v="2"/>
    <n v="58.19"/>
    <n v="58190"/>
    <n v="7786.5"/>
    <n v="25.5"/>
    <n v="77.400000000000006"/>
    <n v="80.599999999999994"/>
    <x v="3"/>
    <x v="2"/>
    <n v="6"/>
    <n v="618"/>
    <n v="0.77099999999999991"/>
    <n v="77.099999999999994"/>
    <n v="43.4"/>
    <n v="0.64"/>
    <n v="1.1499999999999999"/>
    <n v="0.45"/>
    <n v="0.26200000000000001"/>
    <n v="26.2"/>
    <n v="50"/>
    <n v="2"/>
    <n v="158"/>
    <n v="0.17074063947425855"/>
    <n v="0.10120107004834433"/>
    <n v="2281.9607843137255"/>
  </r>
  <r>
    <x v="11"/>
    <x v="4"/>
    <x v="2"/>
    <n v="68.13"/>
    <n v="68130"/>
    <n v="8321.7999999999993"/>
    <n v="37.4"/>
    <n v="127.1"/>
    <n v="77.599999999999994"/>
    <x v="4"/>
    <x v="0"/>
    <n v="28"/>
    <n v="8260"/>
    <n v="0.51400000000000001"/>
    <n v="51.4"/>
    <n v="44.7"/>
    <n v="0.62"/>
    <n v="1.29"/>
    <n v="0.53"/>
    <n v="0.28100000000000003"/>
    <n v="28.1"/>
    <n v="53"/>
    <n v="5.0999999999999996"/>
    <n v="236"/>
    <n v="0.17074063947425855"/>
    <n v="0.10120107004834433"/>
    <n v="1821.6577540106953"/>
  </r>
  <r>
    <x v="12"/>
    <x v="4"/>
    <x v="2"/>
    <n v="79.760000000000005"/>
    <n v="79760"/>
    <n v="11606.7"/>
    <n v="11"/>
    <n v="30.1"/>
    <n v="86.9"/>
    <x v="4"/>
    <x v="2"/>
    <n v="77"/>
    <n v="19250"/>
    <n v="0.81700000000000006"/>
    <n v="81.7"/>
    <n v="69.900000000000006"/>
    <n v="0.67"/>
    <n v="0.82"/>
    <n v="0"/>
    <n v="0.30499999999999999"/>
    <n v="30.5"/>
    <n v="56"/>
    <n v="18.3"/>
    <n v="34"/>
    <n v="0.17074063947425855"/>
    <n v="0.10120107004834433"/>
    <n v="7250.909090909091"/>
  </r>
  <r>
    <x v="13"/>
    <x v="4"/>
    <x v="2"/>
    <n v="93.38"/>
    <n v="93380"/>
    <n v="12133.5"/>
    <n v="42.3"/>
    <n v="86.5"/>
    <n v="100.8"/>
    <x v="3"/>
    <x v="2"/>
    <n v="23"/>
    <n v="3450"/>
    <n v="0.56200000000000006"/>
    <n v="56.2"/>
    <n v="96.3"/>
    <n v="0.78"/>
    <n v="0.88"/>
    <n v="0"/>
    <n v="0.30499999999999999"/>
    <n v="30.5"/>
    <n v="59"/>
    <n v="4"/>
    <n v="320"/>
    <n v="0.17074063947425855"/>
    <n v="0.10120107004834433"/>
    <n v="2207.5650118203312"/>
  </r>
  <r>
    <x v="14"/>
    <x v="4"/>
    <x v="2"/>
    <n v="109.32"/>
    <n v="109320"/>
    <n v="15940.8"/>
    <n v="46"/>
    <n v="127.7"/>
    <n v="121.1"/>
    <x v="4"/>
    <x v="0"/>
    <n v="105"/>
    <n v="17535"/>
    <n v="0.72"/>
    <n v="72"/>
    <n v="41.6"/>
    <n v="0.78"/>
    <n v="0.94"/>
    <n v="0"/>
    <n v="0.33399999999999996"/>
    <n v="33.4"/>
    <n v="62"/>
    <n v="32.5"/>
    <n v="419"/>
    <n v="0.17074063947425855"/>
    <n v="0.10120107004834433"/>
    <n v="2376.521739130435"/>
  </r>
  <r>
    <x v="15"/>
    <x v="4"/>
    <x v="2"/>
    <n v="127.99"/>
    <n v="127990"/>
    <n v="6964.6"/>
    <n v="36.1"/>
    <n v="126.4"/>
    <n v="96.7"/>
    <x v="0"/>
    <x v="1"/>
    <n v="90"/>
    <n v="26910"/>
    <n v="0.63400000000000001"/>
    <n v="63.4"/>
    <n v="94.3"/>
    <n v="0.91"/>
    <n v="1"/>
    <n v="0"/>
    <n v="0.34200000000000003"/>
    <n v="34.200000000000003"/>
    <n v="65"/>
    <n v="20.5"/>
    <n v="324"/>
    <n v="0.17074063947425855"/>
    <n v="0.10120107004834433"/>
    <n v="3545.4293628808864"/>
  </r>
  <r>
    <x v="0"/>
    <x v="5"/>
    <x v="2"/>
    <n v="14.22"/>
    <n v="14220"/>
    <n v="1164.7"/>
    <n v="50.1"/>
    <n v="78.8"/>
    <n v="101.6"/>
    <x v="2"/>
    <x v="1"/>
    <n v="103"/>
    <n v="16171"/>
    <n v="0.81299999999999994"/>
    <n v="81.3"/>
    <n v="50.5"/>
    <n v="0.1"/>
    <n v="0.1"/>
    <n v="0"/>
    <n v="0.10099999999999999"/>
    <n v="10.1"/>
    <n v="20"/>
    <n v="18.600000000000001"/>
    <n v="192"/>
    <n v="0.14483914893842997"/>
    <n v="0.14417629596311476"/>
    <n v="283.83233532934133"/>
  </r>
  <r>
    <x v="1"/>
    <x v="5"/>
    <x v="2"/>
    <n v="16.28"/>
    <n v="16280.000000000002"/>
    <n v="2122.8000000000002"/>
    <n v="33.200000000000003"/>
    <n v="93.8"/>
    <n v="118.5"/>
    <x v="1"/>
    <x v="0"/>
    <n v="37"/>
    <n v="2405"/>
    <n v="0.68799999999999994"/>
    <n v="68.8"/>
    <n v="59.6"/>
    <n v="0.17"/>
    <n v="0.16"/>
    <n v="0"/>
    <n v="7.9000000000000001E-2"/>
    <n v="7.9"/>
    <n v="23"/>
    <n v="9.5"/>
    <n v="43"/>
    <n v="0.14483914893842997"/>
    <n v="0.14417629596311476"/>
    <n v="490.36144578313252"/>
  </r>
  <r>
    <x v="2"/>
    <x v="5"/>
    <x v="2"/>
    <n v="18.64"/>
    <n v="18640"/>
    <n v="2420.6"/>
    <n v="59.9"/>
    <n v="131.80000000000001"/>
    <n v="122.1"/>
    <x v="4"/>
    <x v="1"/>
    <n v="97"/>
    <n v="10767"/>
    <n v="0.67900000000000005"/>
    <n v="67.900000000000006"/>
    <n v="31.9"/>
    <n v="0.14000000000000001"/>
    <n v="0.22"/>
    <n v="0"/>
    <n v="0.13400000000000001"/>
    <n v="13.4"/>
    <n v="26"/>
    <n v="26.2"/>
    <n v="368"/>
    <n v="0.14483914893842997"/>
    <n v="0.14417629596311476"/>
    <n v="311.18530884808013"/>
  </r>
  <r>
    <x v="3"/>
    <x v="5"/>
    <x v="2"/>
    <n v="21.34"/>
    <n v="21340"/>
    <n v="1074"/>
    <n v="29.1"/>
    <n v="60.9"/>
    <n v="132.30000000000001"/>
    <x v="4"/>
    <x v="2"/>
    <n v="22"/>
    <n v="5258"/>
    <n v="0.94400000000000006"/>
    <n v="94.4"/>
    <n v="57.1"/>
    <n v="0.19"/>
    <n v="0.28000000000000003"/>
    <n v="0"/>
    <n v="0.153"/>
    <n v="15.3"/>
    <n v="29"/>
    <n v="6.5"/>
    <n v="314"/>
    <n v="0.14483914893842997"/>
    <n v="0.14417629596311476"/>
    <n v="733.33333333333326"/>
  </r>
  <r>
    <x v="4"/>
    <x v="5"/>
    <x v="2"/>
    <n v="24.43"/>
    <n v="24430"/>
    <n v="3557.6"/>
    <n v="48.3"/>
    <n v="97.4"/>
    <n v="100.6"/>
    <x v="3"/>
    <x v="0"/>
    <n v="43"/>
    <n v="10019"/>
    <n v="0.77599999999999991"/>
    <n v="77.599999999999994"/>
    <n v="37.5"/>
    <n v="0.05"/>
    <n v="0.34"/>
    <n v="0"/>
    <n v="0.161"/>
    <n v="16.100000000000001"/>
    <n v="32"/>
    <n v="16"/>
    <n v="61"/>
    <n v="0.14483914893842997"/>
    <n v="0.14417629596311476"/>
    <n v="505.79710144927537"/>
  </r>
  <r>
    <x v="5"/>
    <x v="5"/>
    <x v="2"/>
    <n v="27.97"/>
    <n v="27970"/>
    <n v="3741.3"/>
    <n v="15.4"/>
    <n v="48.6"/>
    <n v="44.4"/>
    <x v="4"/>
    <x v="2"/>
    <n v="111"/>
    <n v="30525"/>
    <n v="0.93099999999999994"/>
    <n v="93.1"/>
    <n v="87"/>
    <n v="0.09"/>
    <n v="0.4"/>
    <n v="0"/>
    <n v="0.17"/>
    <n v="17"/>
    <n v="35"/>
    <n v="27.3"/>
    <n v="14"/>
    <n v="0.14483914893842997"/>
    <n v="0.14417629596311476"/>
    <n v="1816.2337662337661"/>
  </r>
  <r>
    <x v="6"/>
    <x v="5"/>
    <x v="2"/>
    <n v="32.020000000000003"/>
    <n v="32020.000000000004"/>
    <n v="3829.2"/>
    <n v="10.9"/>
    <n v="34.200000000000003"/>
    <n v="56.9"/>
    <x v="0"/>
    <x v="0"/>
    <n v="115"/>
    <n v="15870"/>
    <n v="0.70599999999999996"/>
    <n v="70.599999999999994"/>
    <n v="54.3"/>
    <n v="0.25"/>
    <n v="0.46"/>
    <n v="0"/>
    <n v="0.18899999999999997"/>
    <n v="18.899999999999999"/>
    <n v="38"/>
    <n v="34.299999999999997"/>
    <n v="132"/>
    <n v="0.14483914893842997"/>
    <n v="0.14417629596311476"/>
    <n v="2937.6146788990827"/>
  </r>
  <r>
    <x v="7"/>
    <x v="5"/>
    <x v="2"/>
    <n v="36.65"/>
    <n v="36650"/>
    <n v="3851.7"/>
    <n v="7"/>
    <n v="16.3"/>
    <n v="74.7"/>
    <x v="2"/>
    <x v="0"/>
    <n v="76"/>
    <n v="13832"/>
    <n v="0.93299999999999994"/>
    <n v="93.3"/>
    <n v="33.200000000000003"/>
    <n v="0.28999999999999998"/>
    <n v="0.52"/>
    <n v="0"/>
    <n v="0.23800000000000002"/>
    <n v="23.8"/>
    <n v="41"/>
    <n v="12.3"/>
    <n v="293"/>
    <n v="0.14483914893842997"/>
    <n v="0.14417629596311476"/>
    <n v="5235.7142857142853"/>
  </r>
  <r>
    <x v="8"/>
    <x v="5"/>
    <x v="2"/>
    <n v="41.96"/>
    <n v="41960"/>
    <n v="4584"/>
    <n v="49.8"/>
    <n v="109.4"/>
    <n v="111.4"/>
    <x v="3"/>
    <x v="2"/>
    <n v="95"/>
    <n v="24130"/>
    <n v="0.57100000000000006"/>
    <n v="57.1"/>
    <n v="37"/>
    <n v="0.17"/>
    <n v="0.57999999999999996"/>
    <n v="0"/>
    <n v="0.21600000000000003"/>
    <n v="21.6"/>
    <n v="44"/>
    <n v="20.6"/>
    <n v="278"/>
    <n v="0.14483914893842997"/>
    <n v="0.14417629596311476"/>
    <n v="842.57028112449802"/>
  </r>
  <r>
    <x v="9"/>
    <x v="5"/>
    <x v="2"/>
    <n v="48.04"/>
    <n v="48040"/>
    <n v="5669.4"/>
    <n v="37.9"/>
    <n v="113.8"/>
    <n v="49"/>
    <x v="3"/>
    <x v="1"/>
    <n v="111"/>
    <n v="10434"/>
    <n v="0.872"/>
    <n v="87.2"/>
    <n v="34.700000000000003"/>
    <n v="0.45"/>
    <n v="0.64"/>
    <n v="0"/>
    <n v="0.26700000000000002"/>
    <n v="26.7"/>
    <n v="47"/>
    <n v="40.799999999999997"/>
    <n v="372"/>
    <n v="0.14483914893842997"/>
    <n v="0.14417629596311476"/>
    <n v="1267.5461741424804"/>
  </r>
  <r>
    <x v="10"/>
    <x v="5"/>
    <x v="2"/>
    <n v="55"/>
    <n v="55000"/>
    <n v="4172.7"/>
    <n v="13.2"/>
    <n v="22"/>
    <n v="69.2"/>
    <x v="2"/>
    <x v="2"/>
    <n v="109"/>
    <n v="7194"/>
    <n v="0.85099999999999998"/>
    <n v="85.1"/>
    <n v="33"/>
    <n v="0.57999999999999996"/>
    <n v="0.99"/>
    <n v="0.28999999999999998"/>
    <n v="0.27399999999999997"/>
    <n v="27.4"/>
    <n v="50"/>
    <n v="19.5"/>
    <n v="423"/>
    <n v="0.14483914893842997"/>
    <n v="0.14417629596311476"/>
    <n v="4166.666666666667"/>
  </r>
  <r>
    <x v="11"/>
    <x v="5"/>
    <x v="2"/>
    <n v="62.96"/>
    <n v="62960"/>
    <n v="5617.4"/>
    <n v="12.4"/>
    <n v="37.299999999999997"/>
    <n v="124.7"/>
    <x v="1"/>
    <x v="1"/>
    <n v="24"/>
    <n v="3480"/>
    <n v="0.57499999999999996"/>
    <n v="57.5"/>
    <n v="82.8"/>
    <n v="0.64"/>
    <n v="0.97"/>
    <n v="0.21"/>
    <n v="0.27899999999999997"/>
    <n v="27.9"/>
    <n v="53"/>
    <n v="8.1999999999999993"/>
    <n v="410"/>
    <n v="0.14483914893842997"/>
    <n v="0.14417629596311476"/>
    <n v="5077.4193548387093"/>
  </r>
  <r>
    <x v="12"/>
    <x v="5"/>
    <x v="2"/>
    <n v="72.08"/>
    <n v="72080"/>
    <n v="8080.1"/>
    <n v="4.7"/>
    <n v="15.1"/>
    <n v="146.80000000000001"/>
    <x v="3"/>
    <x v="2"/>
    <n v="33"/>
    <n v="8349"/>
    <n v="0.67299999999999993"/>
    <n v="67.3"/>
    <n v="29.9"/>
    <n v="0.56999999999999995"/>
    <n v="0.82"/>
    <n v="0"/>
    <n v="0.31900000000000001"/>
    <n v="31.9"/>
    <n v="56"/>
    <n v="11.1"/>
    <n v="42"/>
    <n v="0.14483914893842997"/>
    <n v="0.14417629596311476"/>
    <n v="15336.170212765957"/>
  </r>
  <r>
    <x v="13"/>
    <x v="5"/>
    <x v="2"/>
    <n v="82.53"/>
    <n v="82530"/>
    <n v="10484.1"/>
    <n v="41.6"/>
    <n v="99.6"/>
    <n v="62.8"/>
    <x v="0"/>
    <x v="2"/>
    <n v="33"/>
    <n v="1749"/>
    <n v="0.57399999999999995"/>
    <n v="57.4"/>
    <n v="84.6"/>
    <n v="0.73"/>
    <n v="0.88"/>
    <n v="0"/>
    <n v="0.27600000000000002"/>
    <n v="27.6"/>
    <n v="59"/>
    <n v="8.5"/>
    <n v="166"/>
    <n v="0.14483914893842997"/>
    <n v="0.14417629596311476"/>
    <n v="1983.8942307692307"/>
  </r>
  <r>
    <x v="14"/>
    <x v="5"/>
    <x v="2"/>
    <n v="94.48"/>
    <n v="94480"/>
    <n v="12025.5"/>
    <n v="15.3"/>
    <n v="27"/>
    <n v="134.19999999999999"/>
    <x v="0"/>
    <x v="1"/>
    <n v="112"/>
    <n v="26096"/>
    <n v="0.68900000000000006"/>
    <n v="68.900000000000006"/>
    <n v="72.900000000000006"/>
    <n v="0.86"/>
    <n v="0.94"/>
    <n v="0"/>
    <n v="0.32299999999999995"/>
    <n v="32.299999999999997"/>
    <n v="62"/>
    <n v="28.9"/>
    <n v="271"/>
    <n v="0.14483914893842997"/>
    <n v="0.14417629596311476"/>
    <n v="6175.16339869281"/>
  </r>
  <r>
    <x v="15"/>
    <x v="5"/>
    <x v="2"/>
    <n v="108.16"/>
    <n v="108160"/>
    <n v="8782.2999999999993"/>
    <n v="20.6"/>
    <n v="60.8"/>
    <n v="119.5"/>
    <x v="1"/>
    <x v="0"/>
    <n v="39"/>
    <n v="4407"/>
    <n v="0.88900000000000001"/>
    <n v="88.9"/>
    <n v="60.5"/>
    <n v="0.88"/>
    <n v="1"/>
    <n v="0"/>
    <n v="0.38100000000000001"/>
    <n v="38.1"/>
    <n v="65"/>
    <n v="14.3"/>
    <n v="81"/>
    <n v="0.14483914893842997"/>
    <n v="0.14417629596311476"/>
    <n v="5250.4854368932038"/>
  </r>
  <r>
    <x v="0"/>
    <x v="6"/>
    <x v="2"/>
    <n v="3.23"/>
    <n v="3230"/>
    <n v="167.2"/>
    <n v="48.2"/>
    <n v="100.7"/>
    <n v="139.4"/>
    <x v="4"/>
    <x v="0"/>
    <n v="7"/>
    <n v="1379"/>
    <n v="0.55299999999999994"/>
    <n v="55.3"/>
    <n v="34.4"/>
    <n v="0.18"/>
    <n v="0.1"/>
    <n v="0"/>
    <n v="0.05"/>
    <n v="5"/>
    <n v="20"/>
    <n v="2.4"/>
    <n v="245"/>
    <n v="9.0705729637499788E-2"/>
    <n v="0.104604667160068"/>
    <n v="67.012448132780079"/>
  </r>
  <r>
    <x v="1"/>
    <x v="6"/>
    <x v="2"/>
    <n v="3.52"/>
    <n v="3520"/>
    <n v="255.6"/>
    <n v="11.3"/>
    <n v="31.8"/>
    <n v="69.099999999999994"/>
    <x v="0"/>
    <x v="2"/>
    <n v="6"/>
    <n v="822"/>
    <n v="0.505"/>
    <n v="50.5"/>
    <n v="30.4"/>
    <n v="0.12"/>
    <n v="0.16"/>
    <n v="0"/>
    <n v="8.5000000000000006E-2"/>
    <n v="8.5"/>
    <n v="23"/>
    <n v="1.5"/>
    <n v="329"/>
    <n v="9.0705729637499788E-2"/>
    <n v="0.104604667160068"/>
    <n v="311.50442477876106"/>
  </r>
  <r>
    <x v="2"/>
    <x v="6"/>
    <x v="2"/>
    <n v="3.84"/>
    <n v="3840"/>
    <n v="469.5"/>
    <n v="40.1"/>
    <n v="120.9"/>
    <n v="144.30000000000001"/>
    <x v="3"/>
    <x v="2"/>
    <n v="45"/>
    <n v="8325"/>
    <n v="0.60899999999999999"/>
    <n v="60.9"/>
    <n v="99"/>
    <n v="0.12"/>
    <n v="0.22"/>
    <n v="0"/>
    <n v="0.13200000000000001"/>
    <n v="13.2"/>
    <n v="26"/>
    <n v="14.9"/>
    <n v="169"/>
    <n v="9.0705729637499788E-2"/>
    <n v="0.104604667160068"/>
    <n v="95.760598503740638"/>
  </r>
  <r>
    <x v="3"/>
    <x v="6"/>
    <x v="2"/>
    <n v="4.1900000000000004"/>
    <n v="4190"/>
    <n v="297.7"/>
    <n v="22.1"/>
    <n v="67.3"/>
    <n v="142.9"/>
    <x v="4"/>
    <x v="2"/>
    <n v="101"/>
    <n v="5151"/>
    <n v="0.53700000000000003"/>
    <n v="53.7"/>
    <n v="86.8"/>
    <n v="0.1"/>
    <n v="0.28000000000000003"/>
    <n v="0"/>
    <n v="0.14199999999999999"/>
    <n v="14.2"/>
    <n v="29"/>
    <n v="28.6"/>
    <n v="163"/>
    <n v="9.0705729637499788E-2"/>
    <n v="0.104604667160068"/>
    <n v="189.59276018099547"/>
  </r>
  <r>
    <x v="4"/>
    <x v="6"/>
    <x v="2"/>
    <n v="4.57"/>
    <n v="4570"/>
    <n v="488"/>
    <n v="42"/>
    <n v="130.19999999999999"/>
    <n v="54"/>
    <x v="0"/>
    <x v="1"/>
    <n v="48"/>
    <n v="4704"/>
    <n v="0.90300000000000002"/>
    <n v="90.3"/>
    <n v="69.599999999999994"/>
    <n v="0.05"/>
    <n v="0.34"/>
    <n v="0"/>
    <n v="0.161"/>
    <n v="16.100000000000001"/>
    <n v="32"/>
    <n v="18.600000000000001"/>
    <n v="82"/>
    <n v="9.0705729637499788E-2"/>
    <n v="0.104604667160068"/>
    <n v="108.80952380952381"/>
  </r>
  <r>
    <x v="5"/>
    <x v="6"/>
    <x v="2"/>
    <n v="4.99"/>
    <n v="4990"/>
    <n v="602.79999999999995"/>
    <n v="52.5"/>
    <n v="153.80000000000001"/>
    <n v="126.2"/>
    <x v="3"/>
    <x v="0"/>
    <n v="66"/>
    <n v="10560"/>
    <n v="0.86799999999999999"/>
    <n v="86.8"/>
    <n v="58.9"/>
    <n v="0.1"/>
    <n v="0.4"/>
    <n v="0"/>
    <n v="0.17"/>
    <n v="17"/>
    <n v="35"/>
    <n v="23.3"/>
    <n v="12"/>
    <n v="9.0705729637499788E-2"/>
    <n v="0.104604667160068"/>
    <n v="95.047619047619051"/>
  </r>
  <r>
    <x v="6"/>
    <x v="6"/>
    <x v="2"/>
    <n v="5.44"/>
    <n v="5440"/>
    <n v="594.5"/>
    <n v="39.700000000000003"/>
    <n v="97.6"/>
    <n v="103.9"/>
    <x v="0"/>
    <x v="2"/>
    <n v="23"/>
    <n v="2392"/>
    <n v="0.85499999999999998"/>
    <n v="85.5"/>
    <n v="74.400000000000006"/>
    <n v="0.26"/>
    <n v="0.46"/>
    <n v="0"/>
    <n v="0.191"/>
    <n v="19.100000000000001"/>
    <n v="38"/>
    <n v="6.2"/>
    <n v="316"/>
    <n v="9.0705729637499788E-2"/>
    <n v="0.104604667160068"/>
    <n v="137.02770780856423"/>
  </r>
  <r>
    <x v="7"/>
    <x v="6"/>
    <x v="2"/>
    <n v="5.93"/>
    <n v="5930"/>
    <n v="618.4"/>
    <n v="30.6"/>
    <n v="50.9"/>
    <n v="78.400000000000006"/>
    <x v="4"/>
    <x v="1"/>
    <n v="65"/>
    <n v="9230"/>
    <n v="0.70799999999999996"/>
    <n v="70.8"/>
    <n v="90.1"/>
    <n v="0.19"/>
    <n v="0.52"/>
    <n v="0"/>
    <n v="0.24100000000000002"/>
    <n v="24.1"/>
    <n v="41"/>
    <n v="16.5"/>
    <n v="168"/>
    <n v="9.0705729637499788E-2"/>
    <n v="0.104604667160068"/>
    <n v="193.79084967320262"/>
  </r>
  <r>
    <x v="8"/>
    <x v="6"/>
    <x v="2"/>
    <n v="6.47"/>
    <n v="6470"/>
    <n v="730.3"/>
    <n v="44.7"/>
    <n v="135.5"/>
    <n v="90.6"/>
    <x v="4"/>
    <x v="0"/>
    <n v="54"/>
    <n v="12204"/>
    <n v="0.82599999999999996"/>
    <n v="82.6"/>
    <n v="61.5"/>
    <n v="0.4"/>
    <n v="0.57999999999999996"/>
    <n v="0"/>
    <n v="0.22800000000000001"/>
    <n v="22.8"/>
    <n v="44"/>
    <n v="15"/>
    <n v="75"/>
    <n v="9.0705729637499788E-2"/>
    <n v="0.104604667160068"/>
    <n v="144.74272930648769"/>
  </r>
  <r>
    <x v="9"/>
    <x v="6"/>
    <x v="2"/>
    <n v="7.06"/>
    <n v="7060"/>
    <n v="815.1"/>
    <n v="59.5"/>
    <n v="123.1"/>
    <n v="73.099999999999994"/>
    <x v="0"/>
    <x v="1"/>
    <n v="7"/>
    <n v="2002"/>
    <n v="0.60599999999999998"/>
    <n v="60.6"/>
    <n v="83.2"/>
    <n v="0.49"/>
    <n v="0.64"/>
    <n v="0"/>
    <n v="0.25900000000000001"/>
    <n v="25.9"/>
    <n v="47"/>
    <n v="1.9"/>
    <n v="109"/>
    <n v="9.0705729637499788E-2"/>
    <n v="0.104604667160068"/>
    <n v="118.65546218487395"/>
  </r>
  <r>
    <x v="10"/>
    <x v="6"/>
    <x v="2"/>
    <n v="7.7"/>
    <n v="7700"/>
    <n v="1132.5999999999999"/>
    <n v="12.5"/>
    <n v="40.1"/>
    <n v="89.1"/>
    <x v="4"/>
    <x v="0"/>
    <n v="66"/>
    <n v="19470"/>
    <n v="0.54299999999999993"/>
    <n v="54.3"/>
    <n v="73.900000000000006"/>
    <n v="0.47"/>
    <n v="1.26"/>
    <n v="0.56000000000000005"/>
    <n v="0.253"/>
    <n v="25.3"/>
    <n v="50"/>
    <n v="24.3"/>
    <n v="354"/>
    <n v="9.0705729637499788E-2"/>
    <n v="0.104604667160068"/>
    <n v="616"/>
  </r>
  <r>
    <x v="11"/>
    <x v="6"/>
    <x v="2"/>
    <n v="8.4"/>
    <n v="8400"/>
    <n v="692.8"/>
    <n v="46.9"/>
    <n v="82.6"/>
    <n v="146.4"/>
    <x v="3"/>
    <x v="0"/>
    <n v="51"/>
    <n v="4080"/>
    <n v="0.57600000000000007"/>
    <n v="57.6"/>
    <n v="64"/>
    <n v="0.62"/>
    <n v="1.35"/>
    <n v="0.59"/>
    <n v="0.25800000000000001"/>
    <n v="25.8"/>
    <n v="53"/>
    <n v="10.7"/>
    <n v="275"/>
    <n v="9.0705729637499788E-2"/>
    <n v="0.104604667160068"/>
    <n v="179.1044776119403"/>
  </r>
  <r>
    <x v="12"/>
    <x v="6"/>
    <x v="2"/>
    <n v="9.16"/>
    <n v="9160"/>
    <n v="869.5"/>
    <n v="36.1"/>
    <n v="122.6"/>
    <n v="60.3"/>
    <x v="0"/>
    <x v="1"/>
    <n v="88"/>
    <n v="6776"/>
    <n v="0.79900000000000004"/>
    <n v="79.900000000000006"/>
    <n v="60.6"/>
    <n v="0.62"/>
    <n v="0.82"/>
    <n v="0"/>
    <n v="0.308"/>
    <n v="30.8"/>
    <n v="56"/>
    <n v="14"/>
    <n v="129"/>
    <n v="9.0705729637499788E-2"/>
    <n v="0.104604667160068"/>
    <n v="253.73961218836564"/>
  </r>
  <r>
    <x v="13"/>
    <x v="6"/>
    <x v="2"/>
    <n v="9.99"/>
    <n v="9990"/>
    <n v="1366.7"/>
    <n v="13.9"/>
    <n v="24"/>
    <n v="62.4"/>
    <x v="1"/>
    <x v="0"/>
    <n v="6"/>
    <n v="1500"/>
    <n v="0.51800000000000002"/>
    <n v="51.8"/>
    <n v="34.200000000000003"/>
    <n v="0.76"/>
    <n v="0.88"/>
    <n v="0"/>
    <n v="0.34299999999999997"/>
    <n v="34.299999999999997"/>
    <n v="59"/>
    <n v="1.7"/>
    <n v="207"/>
    <n v="9.0705729637499788E-2"/>
    <n v="0.104604667160068"/>
    <n v="718.70503597122297"/>
  </r>
  <r>
    <x v="14"/>
    <x v="6"/>
    <x v="2"/>
    <n v="10.89"/>
    <n v="10890"/>
    <n v="1294.5"/>
    <n v="25"/>
    <n v="61.6"/>
    <n v="112.3"/>
    <x v="4"/>
    <x v="1"/>
    <n v="102"/>
    <n v="27132"/>
    <n v="0.70499999999999996"/>
    <n v="70.5"/>
    <n v="63.7"/>
    <n v="0.83"/>
    <n v="0.94"/>
    <n v="0"/>
    <n v="0.315"/>
    <n v="31.5"/>
    <n v="62"/>
    <n v="31.6"/>
    <n v="187"/>
    <n v="9.0705729637499788E-2"/>
    <n v="0.104604667160068"/>
    <n v="435.6"/>
  </r>
  <r>
    <x v="15"/>
    <x v="6"/>
    <x v="2"/>
    <n v="11.88"/>
    <n v="11880"/>
    <n v="743.6"/>
    <n v="9.6999999999999993"/>
    <n v="17.3"/>
    <n v="142.80000000000001"/>
    <x v="0"/>
    <x v="0"/>
    <n v="12"/>
    <n v="3492"/>
    <n v="0.8909999999999999"/>
    <n v="89.1"/>
    <n v="38.299999999999997"/>
    <n v="0.92"/>
    <n v="1"/>
    <n v="0"/>
    <n v="0.308"/>
    <n v="30.8"/>
    <n v="65"/>
    <n v="2.4"/>
    <n v="299"/>
    <n v="9.0705729637499788E-2"/>
    <n v="0.104604667160068"/>
    <n v="1224.7422680412371"/>
  </r>
  <r>
    <x v="0"/>
    <x v="7"/>
    <x v="3"/>
    <n v="10.26"/>
    <n v="10260"/>
    <n v="763.7"/>
    <n v="50.2"/>
    <n v="162.1"/>
    <n v="122.2"/>
    <x v="1"/>
    <x v="2"/>
    <n v="95"/>
    <n v="11495"/>
    <n v="0.77"/>
    <n v="77"/>
    <n v="95.6"/>
    <n v="0.09"/>
    <n v="0.1"/>
    <n v="0"/>
    <n v="9.9000000000000005E-2"/>
    <n v="9.9"/>
    <n v="20"/>
    <n v="33.1"/>
    <n v="151"/>
    <n v="0.24574892539335313"/>
    <n v="0.28399470059511489"/>
    <n v="204.38247011952191"/>
  </r>
  <r>
    <x v="1"/>
    <x v="7"/>
    <x v="3"/>
    <n v="12.78"/>
    <n v="12780"/>
    <n v="775.5"/>
    <n v="40.200000000000003"/>
    <n v="140.5"/>
    <n v="35.799999999999997"/>
    <x v="0"/>
    <x v="2"/>
    <n v="77"/>
    <n v="16170"/>
    <n v="0.54100000000000004"/>
    <n v="54.1"/>
    <n v="46.7"/>
    <n v="0.18"/>
    <n v="0.16"/>
    <n v="0"/>
    <n v="9.4E-2"/>
    <n v="9.4"/>
    <n v="23"/>
    <n v="19.399999999999999"/>
    <n v="468"/>
    <n v="0.24574892539335313"/>
    <n v="0.28399470059511489"/>
    <n v="317.91044776119401"/>
  </r>
  <r>
    <x v="2"/>
    <x v="7"/>
    <x v="3"/>
    <n v="15.93"/>
    <n v="15930"/>
    <n v="1317.2"/>
    <n v="40.700000000000003"/>
    <n v="126.9"/>
    <n v="121.5"/>
    <x v="3"/>
    <x v="2"/>
    <n v="109"/>
    <n v="7848"/>
    <n v="0.55399999999999994"/>
    <n v="55.4"/>
    <n v="65.8"/>
    <n v="0.09"/>
    <n v="0.22"/>
    <n v="0"/>
    <n v="0.153"/>
    <n v="15.3"/>
    <n v="26"/>
    <n v="28.2"/>
    <n v="98"/>
    <n v="0.24574892539335313"/>
    <n v="0.28399470059511489"/>
    <n v="391.40049140049138"/>
  </r>
  <r>
    <x v="3"/>
    <x v="7"/>
    <x v="3"/>
    <n v="19.84"/>
    <n v="19840"/>
    <n v="2201.9"/>
    <n v="34.700000000000003"/>
    <n v="78.400000000000006"/>
    <n v="95.8"/>
    <x v="3"/>
    <x v="0"/>
    <n v="37"/>
    <n v="3626"/>
    <n v="0.53299999999999992"/>
    <n v="53.3"/>
    <n v="70.3"/>
    <n v="0.16"/>
    <n v="0.28000000000000003"/>
    <n v="0"/>
    <n v="0.121"/>
    <n v="12.1"/>
    <n v="29"/>
    <n v="10.6"/>
    <n v="119"/>
    <n v="0.24574892539335313"/>
    <n v="0.28399470059511489"/>
    <n v="571.75792507204608"/>
  </r>
  <r>
    <x v="4"/>
    <x v="7"/>
    <x v="3"/>
    <n v="24.71"/>
    <n v="24710"/>
    <n v="2472.6"/>
    <n v="33.5"/>
    <n v="113.9"/>
    <n v="131.69999999999999"/>
    <x v="4"/>
    <x v="2"/>
    <n v="32"/>
    <n v="5312"/>
    <n v="0.67900000000000005"/>
    <n v="67.900000000000006"/>
    <n v="68.5"/>
    <n v="0.16"/>
    <n v="0.34"/>
    <n v="0"/>
    <n v="0.18100000000000002"/>
    <n v="18.100000000000001"/>
    <n v="32"/>
    <n v="11.3"/>
    <n v="309"/>
    <n v="0.24574892539335313"/>
    <n v="0.28399470059511489"/>
    <n v="737.61194029850742"/>
  </r>
  <r>
    <x v="5"/>
    <x v="7"/>
    <x v="3"/>
    <n v="30.79"/>
    <n v="30790"/>
    <n v="3230.9"/>
    <n v="45.3"/>
    <n v="132.80000000000001"/>
    <n v="92.5"/>
    <x v="0"/>
    <x v="1"/>
    <n v="25"/>
    <n v="5000"/>
    <n v="0.61"/>
    <n v="61"/>
    <n v="94.5"/>
    <n v="-0.02"/>
    <n v="0.4"/>
    <n v="0"/>
    <n v="0.17300000000000001"/>
    <n v="17.3"/>
    <n v="35"/>
    <n v="6.4"/>
    <n v="280"/>
    <n v="0.24574892539335313"/>
    <n v="0.28399470059511489"/>
    <n v="679.69094922737315"/>
  </r>
  <r>
    <x v="6"/>
    <x v="7"/>
    <x v="3"/>
    <n v="38.35"/>
    <n v="38350"/>
    <n v="2663.9"/>
    <n v="11.6"/>
    <n v="31.9"/>
    <n v="92.8"/>
    <x v="1"/>
    <x v="1"/>
    <n v="114"/>
    <n v="8664"/>
    <n v="0.7609999999999999"/>
    <n v="76.099999999999994"/>
    <n v="31.7"/>
    <n v="0.18"/>
    <n v="0.46"/>
    <n v="0"/>
    <n v="0.17199999999999999"/>
    <n v="17.2"/>
    <n v="38"/>
    <n v="43.6"/>
    <n v="167"/>
    <n v="0.24574892539335313"/>
    <n v="0.28399470059511489"/>
    <n v="3306.0344827586209"/>
  </r>
  <r>
    <x v="7"/>
    <x v="7"/>
    <x v="3"/>
    <n v="47.78"/>
    <n v="47780"/>
    <n v="4364.7"/>
    <n v="9.1"/>
    <n v="16.899999999999999"/>
    <n v="111.7"/>
    <x v="4"/>
    <x v="0"/>
    <n v="78"/>
    <n v="6864"/>
    <n v="0.58299999999999996"/>
    <n v="58.3"/>
    <n v="93.8"/>
    <n v="0.21"/>
    <n v="0.52"/>
    <n v="0"/>
    <n v="0.23499999999999999"/>
    <n v="23.5"/>
    <n v="41"/>
    <n v="21.9"/>
    <n v="93"/>
    <n v="0.24574892539335313"/>
    <n v="0.28399470059511489"/>
    <n v="5250.5494505494507"/>
  </r>
  <r>
    <x v="8"/>
    <x v="7"/>
    <x v="3"/>
    <n v="59.52"/>
    <n v="59520"/>
    <n v="6250.7"/>
    <n v="4.5"/>
    <n v="12.5"/>
    <n v="144.19999999999999"/>
    <x v="1"/>
    <x v="2"/>
    <n v="26"/>
    <n v="4342"/>
    <n v="0.85699999999999998"/>
    <n v="85.7"/>
    <n v="73.5"/>
    <n v="0.41"/>
    <n v="0.57999999999999996"/>
    <n v="0"/>
    <n v="0.23199999999999998"/>
    <n v="23.2"/>
    <n v="44"/>
    <n v="7.2"/>
    <n v="481"/>
    <n v="0.24574892539335313"/>
    <n v="0.28399470059511489"/>
    <n v="13226.666666666666"/>
  </r>
  <r>
    <x v="9"/>
    <x v="7"/>
    <x v="3"/>
    <n v="74.14"/>
    <n v="74140"/>
    <n v="10380.200000000001"/>
    <n v="22.5"/>
    <n v="44.4"/>
    <n v="123.7"/>
    <x v="1"/>
    <x v="1"/>
    <n v="54"/>
    <n v="10854"/>
    <n v="0.8"/>
    <n v="80"/>
    <n v="32.200000000000003"/>
    <n v="0.48"/>
    <n v="0.64"/>
    <n v="0"/>
    <n v="0.24399999999999999"/>
    <n v="24.4"/>
    <n v="47"/>
    <n v="19.2"/>
    <n v="173"/>
    <n v="0.24574892539335313"/>
    <n v="0.28399470059511489"/>
    <n v="3295.1111111111113"/>
  </r>
  <r>
    <x v="10"/>
    <x v="7"/>
    <x v="3"/>
    <n v="92.36"/>
    <n v="92360"/>
    <n v="6790.8"/>
    <n v="52.4"/>
    <n v="128.19999999999999"/>
    <n v="94.2"/>
    <x v="3"/>
    <x v="1"/>
    <n v="26"/>
    <n v="5850"/>
    <n v="0.746"/>
    <n v="74.599999999999994"/>
    <n v="42.4"/>
    <n v="0.44"/>
    <n v="0.96"/>
    <n v="0.26"/>
    <n v="0.26200000000000001"/>
    <n v="26.2"/>
    <n v="50"/>
    <n v="5.9"/>
    <n v="87"/>
    <n v="0.24574892539335313"/>
    <n v="0.28399470059511489"/>
    <n v="1762.5954198473282"/>
  </r>
  <r>
    <x v="11"/>
    <x v="7"/>
    <x v="3"/>
    <n v="115.06"/>
    <n v="115060"/>
    <n v="13529"/>
    <n v="27.7"/>
    <n v="66.2"/>
    <n v="116.9"/>
    <x v="3"/>
    <x v="0"/>
    <n v="79"/>
    <n v="22120"/>
    <n v="0.65200000000000002"/>
    <n v="65.2"/>
    <n v="92.9"/>
    <n v="0.61"/>
    <n v="1.21"/>
    <n v="0.45"/>
    <n v="0.252"/>
    <n v="25.2"/>
    <n v="53"/>
    <n v="18.600000000000001"/>
    <n v="118"/>
    <n v="0.24574892539335313"/>
    <n v="0.28399470059511489"/>
    <n v="4153.7906137184118"/>
  </r>
  <r>
    <x v="12"/>
    <x v="7"/>
    <x v="3"/>
    <n v="143.33000000000001"/>
    <n v="143330"/>
    <n v="12254.7"/>
    <n v="6"/>
    <n v="15.3"/>
    <n v="38.1"/>
    <x v="0"/>
    <x v="0"/>
    <n v="9"/>
    <n v="1989"/>
    <n v="0.76700000000000002"/>
    <n v="76.7"/>
    <n v="76"/>
    <n v="0.6"/>
    <n v="0.82"/>
    <n v="0"/>
    <n v="0.28600000000000003"/>
    <n v="28.6"/>
    <n v="56"/>
    <n v="1.9"/>
    <n v="309"/>
    <n v="0.24574892539335313"/>
    <n v="0.28399470059511489"/>
    <n v="23888.333333333332"/>
  </r>
  <r>
    <x v="13"/>
    <x v="7"/>
    <x v="3"/>
    <n v="178.55"/>
    <n v="178550"/>
    <n v="20881.3"/>
    <n v="59.7"/>
    <n v="168.5"/>
    <n v="96.9"/>
    <x v="1"/>
    <x v="0"/>
    <n v="102"/>
    <n v="26928"/>
    <n v="0.93099999999999994"/>
    <n v="93.1"/>
    <n v="38.1"/>
    <n v="0.68"/>
    <n v="0.88"/>
    <n v="0"/>
    <n v="0.29199999999999998"/>
    <n v="29.2"/>
    <n v="59"/>
    <n v="27.2"/>
    <n v="296"/>
    <n v="0.24574892539335313"/>
    <n v="0.28399470059511489"/>
    <n v="2990.7872696817417"/>
  </r>
  <r>
    <x v="14"/>
    <x v="7"/>
    <x v="3"/>
    <n v="222.43"/>
    <n v="222430"/>
    <n v="20229.099999999999"/>
    <n v="26.5"/>
    <n v="83.4"/>
    <n v="30.1"/>
    <x v="3"/>
    <x v="0"/>
    <n v="20"/>
    <n v="3780"/>
    <n v="0.60599999999999998"/>
    <n v="60.6"/>
    <n v="54.9"/>
    <n v="0.79"/>
    <n v="0.94"/>
    <n v="0"/>
    <n v="0.34399999999999997"/>
    <n v="34.4"/>
    <n v="62"/>
    <n v="7.9"/>
    <n v="113"/>
    <n v="0.24574892539335313"/>
    <n v="0.28399470059511489"/>
    <n v="8393.5849056603765"/>
  </r>
  <r>
    <x v="15"/>
    <x v="7"/>
    <x v="3"/>
    <n v="277.08"/>
    <n v="277080"/>
    <n v="32461.7"/>
    <n v="7.4"/>
    <n v="14.9"/>
    <n v="124.5"/>
    <x v="1"/>
    <x v="0"/>
    <n v="36"/>
    <n v="7560"/>
    <n v="0.57200000000000006"/>
    <n v="57.2"/>
    <n v="29.7"/>
    <n v="0.86"/>
    <n v="1"/>
    <n v="0"/>
    <n v="0.36599999999999999"/>
    <n v="36.6"/>
    <n v="65"/>
    <n v="10.9"/>
    <n v="301"/>
    <n v="0.24574892539335313"/>
    <n v="0.28399470059511489"/>
    <n v="37443.24324324324"/>
  </r>
  <r>
    <x v="0"/>
    <x v="8"/>
    <x v="4"/>
    <n v="5.24"/>
    <n v="5240"/>
    <n v="753.5"/>
    <n v="34.1"/>
    <n v="72"/>
    <n v="77.599999999999994"/>
    <x v="3"/>
    <x v="0"/>
    <n v="27"/>
    <n v="5481"/>
    <n v="0.72400000000000009"/>
    <n v="72.400000000000006"/>
    <n v="99.4"/>
    <n v="0.06"/>
    <n v="0.1"/>
    <n v="0"/>
    <n v="9.5000000000000001E-2"/>
    <n v="9.5"/>
    <n v="20"/>
    <n v="8.1"/>
    <n v="110"/>
    <n v="0.10267189322748638"/>
    <n v="7.6008662219149148E-2"/>
    <n v="153.66568914956011"/>
  </r>
  <r>
    <x v="1"/>
    <x v="8"/>
    <x v="4"/>
    <n v="5.78"/>
    <n v="5780"/>
    <n v="518.70000000000005"/>
    <n v="33.299999999999997"/>
    <n v="91.8"/>
    <n v="110.9"/>
    <x v="3"/>
    <x v="1"/>
    <n v="110"/>
    <n v="22770"/>
    <n v="0.63700000000000001"/>
    <n v="63.7"/>
    <n v="31.1"/>
    <n v="0.1"/>
    <n v="0.16"/>
    <n v="0"/>
    <n v="6.7000000000000004E-2"/>
    <n v="6.7"/>
    <n v="23"/>
    <n v="36.299999999999997"/>
    <n v="414"/>
    <n v="0.10267189322748638"/>
    <n v="7.6008662219149148E-2"/>
    <n v="173.57357357357358"/>
  </r>
  <r>
    <x v="2"/>
    <x v="8"/>
    <x v="4"/>
    <n v="6.38"/>
    <n v="6380"/>
    <n v="685.4"/>
    <n v="29.8"/>
    <n v="63.4"/>
    <n v="102.8"/>
    <x v="0"/>
    <x v="1"/>
    <n v="69"/>
    <n v="10971"/>
    <n v="0.92900000000000005"/>
    <n v="92.9"/>
    <n v="86.9"/>
    <n v="0.14000000000000001"/>
    <n v="0.22"/>
    <n v="0"/>
    <n v="0.13600000000000001"/>
    <n v="13.6"/>
    <n v="26"/>
    <n v="25.8"/>
    <n v="150"/>
    <n v="0.10267189322748638"/>
    <n v="7.6008662219149148E-2"/>
    <n v="214.09395973154361"/>
  </r>
  <r>
    <x v="3"/>
    <x v="8"/>
    <x v="4"/>
    <n v="7.03"/>
    <n v="7030"/>
    <n v="369.6"/>
    <n v="9.8000000000000007"/>
    <n v="33.700000000000003"/>
    <n v="95.9"/>
    <x v="0"/>
    <x v="1"/>
    <n v="36"/>
    <n v="6372"/>
    <n v="0.72799999999999998"/>
    <n v="72.8"/>
    <n v="58"/>
    <n v="7.0000000000000007E-2"/>
    <n v="0.28000000000000003"/>
    <n v="0"/>
    <n v="0.14599999999999999"/>
    <n v="14.6"/>
    <n v="29"/>
    <n v="9.3000000000000007"/>
    <n v="325"/>
    <n v="0.10267189322748638"/>
    <n v="7.6008662219149148E-2"/>
    <n v="717.34693877551013"/>
  </r>
  <r>
    <x v="4"/>
    <x v="8"/>
    <x v="4"/>
    <n v="7.75"/>
    <n v="7750"/>
    <n v="670.3"/>
    <n v="24.4"/>
    <n v="64.2"/>
    <n v="53"/>
    <x v="2"/>
    <x v="2"/>
    <n v="93"/>
    <n v="16647"/>
    <n v="0.77900000000000003"/>
    <n v="77.900000000000006"/>
    <n v="47.3"/>
    <n v="0.1"/>
    <n v="0.34"/>
    <n v="0"/>
    <n v="0.16200000000000001"/>
    <n v="16.2"/>
    <n v="32"/>
    <n v="25.2"/>
    <n v="480"/>
    <n v="0.10267189322748638"/>
    <n v="7.6008662219149148E-2"/>
    <n v="317.62295081967216"/>
  </r>
  <r>
    <x v="5"/>
    <x v="8"/>
    <x v="4"/>
    <n v="8.5500000000000007"/>
    <n v="8550"/>
    <n v="531.1"/>
    <n v="19.600000000000001"/>
    <n v="33.299999999999997"/>
    <n v="113.1"/>
    <x v="4"/>
    <x v="2"/>
    <n v="101"/>
    <n v="5353"/>
    <n v="0.77700000000000002"/>
    <n v="77.7"/>
    <n v="48"/>
    <n v="7.0000000000000007E-2"/>
    <n v="0.4"/>
    <n v="0"/>
    <n v="0.17499999999999999"/>
    <n v="17.5"/>
    <n v="35"/>
    <n v="31.1"/>
    <n v="317"/>
    <n v="0.10267189322748638"/>
    <n v="7.6008662219149148E-2"/>
    <n v="436.22448979591832"/>
  </r>
  <r>
    <x v="6"/>
    <x v="8"/>
    <x v="4"/>
    <n v="9.42"/>
    <n v="9420"/>
    <n v="1153.7"/>
    <n v="47.9"/>
    <n v="110.7"/>
    <n v="108.5"/>
    <x v="0"/>
    <x v="2"/>
    <n v="103"/>
    <n v="5768"/>
    <n v="0.84599999999999997"/>
    <n v="84.6"/>
    <n v="25.8"/>
    <n v="0.23"/>
    <n v="0.46"/>
    <n v="0"/>
    <n v="0.20899999999999999"/>
    <n v="20.9"/>
    <n v="38"/>
    <n v="29"/>
    <n v="395"/>
    <n v="0.10267189322748638"/>
    <n v="7.6008662219149148E-2"/>
    <n v="196.65970772442589"/>
  </r>
  <r>
    <x v="7"/>
    <x v="8"/>
    <x v="4"/>
    <n v="10.39"/>
    <n v="10390"/>
    <n v="1340.7"/>
    <n v="35.799999999999997"/>
    <n v="102.4"/>
    <n v="52.8"/>
    <x v="2"/>
    <x v="0"/>
    <n v="9"/>
    <n v="1026"/>
    <n v="0.78299999999999992"/>
    <n v="78.3"/>
    <n v="39.9"/>
    <n v="0.25"/>
    <n v="0.52"/>
    <n v="0"/>
    <n v="0.19600000000000001"/>
    <n v="19.600000000000001"/>
    <n v="41"/>
    <n v="2.1"/>
    <n v="494"/>
    <n v="0.10267189322748638"/>
    <n v="7.6008662219149148E-2"/>
    <n v="290.22346368715085"/>
  </r>
  <r>
    <x v="8"/>
    <x v="8"/>
    <x v="4"/>
    <n v="11.46"/>
    <n v="11460"/>
    <n v="698.6"/>
    <n v="33.799999999999997"/>
    <n v="81.400000000000006"/>
    <n v="131.30000000000001"/>
    <x v="1"/>
    <x v="0"/>
    <n v="59"/>
    <n v="9794"/>
    <n v="0.64599999999999991"/>
    <n v="64.599999999999994"/>
    <n v="80.3"/>
    <n v="0.34"/>
    <n v="0.57999999999999996"/>
    <n v="0"/>
    <n v="0.245"/>
    <n v="24.5"/>
    <n v="44"/>
    <n v="16.100000000000001"/>
    <n v="241"/>
    <n v="0.10267189322748638"/>
    <n v="7.6008662219149148E-2"/>
    <n v="339.05325443786984"/>
  </r>
  <r>
    <x v="9"/>
    <x v="8"/>
    <x v="4"/>
    <n v="12.63"/>
    <n v="12630"/>
    <n v="1717.5"/>
    <n v="24.8"/>
    <n v="84.5"/>
    <n v="46"/>
    <x v="4"/>
    <x v="2"/>
    <n v="68"/>
    <n v="4488"/>
    <n v="0.8640000000000001"/>
    <n v="86.4"/>
    <n v="30.7"/>
    <n v="0.44"/>
    <n v="0.64"/>
    <n v="0"/>
    <n v="0.27399999999999997"/>
    <n v="27.4"/>
    <n v="47"/>
    <n v="21.4"/>
    <n v="106"/>
    <n v="0.10267189322748638"/>
    <n v="7.6008662219149148E-2"/>
    <n v="509.27419354838707"/>
  </r>
  <r>
    <x v="10"/>
    <x v="8"/>
    <x v="4"/>
    <n v="13.93"/>
    <n v="13930"/>
    <n v="1614.8"/>
    <n v="53.9"/>
    <n v="149.5"/>
    <n v="103.7"/>
    <x v="3"/>
    <x v="2"/>
    <n v="64"/>
    <n v="8704"/>
    <n v="0.83200000000000007"/>
    <n v="83.2"/>
    <n v="63.4"/>
    <n v="0.61"/>
    <n v="1.24"/>
    <n v="0.54"/>
    <n v="0.255"/>
    <n v="25.5"/>
    <n v="50"/>
    <n v="17.899999999999999"/>
    <n v="110"/>
    <n v="0.10267189322748638"/>
    <n v="7.6008662219149148E-2"/>
    <n v="258.44155844155847"/>
  </r>
  <r>
    <x v="11"/>
    <x v="8"/>
    <x v="4"/>
    <n v="15.36"/>
    <n v="15360"/>
    <n v="929.7"/>
    <n v="4.0999999999999996"/>
    <n v="10.199999999999999"/>
    <n v="76.5"/>
    <x v="1"/>
    <x v="1"/>
    <n v="35"/>
    <n v="5565"/>
    <n v="0.92400000000000004"/>
    <n v="92.4"/>
    <n v="83.8"/>
    <n v="0.63"/>
    <n v="0.98"/>
    <n v="0.22"/>
    <n v="0.29499999999999998"/>
    <n v="29.5"/>
    <n v="53"/>
    <n v="13.9"/>
    <n v="60"/>
    <n v="0.10267189322748638"/>
    <n v="7.6008662219149148E-2"/>
    <n v="3746.3414634146343"/>
  </r>
  <r>
    <x v="12"/>
    <x v="8"/>
    <x v="4"/>
    <n v="16.93"/>
    <n v="16930"/>
    <n v="1295.5999999999999"/>
    <n v="3.2"/>
    <n v="5.4"/>
    <n v="146.1"/>
    <x v="4"/>
    <x v="2"/>
    <n v="99"/>
    <n v="18315"/>
    <n v="0.67200000000000004"/>
    <n v="67.2"/>
    <n v="40.4"/>
    <n v="0.72"/>
    <n v="0.82"/>
    <n v="0"/>
    <n v="0.314"/>
    <n v="31.4"/>
    <n v="56"/>
    <n v="33.9"/>
    <n v="58"/>
    <n v="0.10267189322748638"/>
    <n v="7.6008662219149148E-2"/>
    <n v="5290.625"/>
  </r>
  <r>
    <x v="13"/>
    <x v="8"/>
    <x v="4"/>
    <n v="18.670000000000002"/>
    <n v="18670"/>
    <n v="1062.9000000000001"/>
    <n v="57.7"/>
    <n v="141.69999999999999"/>
    <n v="137.5"/>
    <x v="3"/>
    <x v="0"/>
    <n v="14"/>
    <n v="2772"/>
    <n v="0.77099999999999991"/>
    <n v="77.099999999999994"/>
    <n v="68.7"/>
    <n v="0.7"/>
    <n v="0.88"/>
    <n v="0"/>
    <n v="0.29899999999999999"/>
    <n v="29.9"/>
    <n v="59"/>
    <n v="2.5"/>
    <n v="360"/>
    <n v="0.10267189322748638"/>
    <n v="7.6008662219149148E-2"/>
    <n v="323.57019064124779"/>
  </r>
  <r>
    <x v="14"/>
    <x v="8"/>
    <x v="4"/>
    <n v="20.59"/>
    <n v="20590"/>
    <n v="1351.9"/>
    <n v="4.5"/>
    <n v="7.8"/>
    <n v="101.8"/>
    <x v="1"/>
    <x v="0"/>
    <n v="77"/>
    <n v="15554"/>
    <n v="0.77599999999999991"/>
    <n v="77.599999999999994"/>
    <n v="95.7"/>
    <n v="0.94"/>
    <n v="0.94"/>
    <n v="0"/>
    <n v="0.34200000000000003"/>
    <n v="34.200000000000003"/>
    <n v="62"/>
    <n v="18.8"/>
    <n v="423"/>
    <n v="0.10267189322748638"/>
    <n v="7.6008662219149148E-2"/>
    <n v="4575.5555555555557"/>
  </r>
  <r>
    <x v="15"/>
    <x v="8"/>
    <x v="4"/>
    <n v="22.7"/>
    <n v="22700"/>
    <n v="2261.1"/>
    <n v="2.7"/>
    <n v="9.5"/>
    <n v="110.6"/>
    <x v="1"/>
    <x v="2"/>
    <n v="98"/>
    <n v="16464"/>
    <n v="0.745"/>
    <n v="74.5"/>
    <n v="72.7"/>
    <n v="0.91"/>
    <n v="1"/>
    <n v="0"/>
    <n v="0.36"/>
    <n v="36"/>
    <n v="65"/>
    <n v="36.200000000000003"/>
    <n v="158"/>
    <n v="0.10267189322748638"/>
    <n v="7.6008662219149148E-2"/>
    <n v="8407.4074074074069"/>
  </r>
  <r>
    <x v="0"/>
    <x v="9"/>
    <x v="0"/>
    <n v="14.7"/>
    <n v="14700"/>
    <n v="814"/>
    <n v="20.6"/>
    <n v="61.8"/>
    <n v="62.3"/>
    <x v="2"/>
    <x v="2"/>
    <n v="96"/>
    <n v="7488"/>
    <n v="0.80799999999999994"/>
    <n v="80.8"/>
    <n v="31.9"/>
    <n v="0.04"/>
    <n v="0.1"/>
    <n v="0"/>
    <n v="0.105"/>
    <n v="10.5"/>
    <n v="20"/>
    <n v="31.9"/>
    <n v="59"/>
    <n v="0.19962361768845782"/>
    <n v="0.24464551953594671"/>
    <n v="713.59223300970871"/>
  </r>
  <r>
    <x v="1"/>
    <x v="9"/>
    <x v="0"/>
    <n v="17.63"/>
    <n v="17630"/>
    <n v="2363.9"/>
    <n v="44.5"/>
    <n v="115"/>
    <n v="100.8"/>
    <x v="3"/>
    <x v="1"/>
    <n v="60"/>
    <n v="3120"/>
    <n v="0.81"/>
    <n v="81"/>
    <n v="90.5"/>
    <n v="0.1"/>
    <n v="0.16"/>
    <n v="0"/>
    <n v="8.6999999999999994E-2"/>
    <n v="8.6999999999999993"/>
    <n v="23"/>
    <n v="13.5"/>
    <n v="376"/>
    <n v="0.19962361768845782"/>
    <n v="0.24464551953594671"/>
    <n v="396.17977528089887"/>
  </r>
  <r>
    <x v="2"/>
    <x v="9"/>
    <x v="0"/>
    <n v="21.15"/>
    <n v="21150"/>
    <n v="1397.8"/>
    <n v="34.4"/>
    <n v="107.3"/>
    <n v="119"/>
    <x v="3"/>
    <x v="0"/>
    <n v="7"/>
    <n v="1694"/>
    <n v="0.79599999999999993"/>
    <n v="79.599999999999994"/>
    <n v="48.3"/>
    <n v="0.09"/>
    <n v="0.22"/>
    <n v="0"/>
    <n v="0.154"/>
    <n v="15.4"/>
    <n v="26"/>
    <n v="1.5"/>
    <n v="414"/>
    <n v="0.19962361768845782"/>
    <n v="0.24464551953594671"/>
    <n v="614.82558139534888"/>
  </r>
  <r>
    <x v="3"/>
    <x v="9"/>
    <x v="0"/>
    <n v="25.37"/>
    <n v="25370"/>
    <n v="1745.8"/>
    <n v="22.6"/>
    <n v="69.400000000000006"/>
    <n v="96.5"/>
    <x v="1"/>
    <x v="2"/>
    <n v="90"/>
    <n v="25470"/>
    <n v="0.505"/>
    <n v="50.5"/>
    <n v="81.2"/>
    <n v="0.14000000000000001"/>
    <n v="0.28000000000000003"/>
    <n v="0"/>
    <n v="0.17899999999999999"/>
    <n v="17.899999999999999"/>
    <n v="29"/>
    <n v="30.6"/>
    <n v="446"/>
    <n v="0.19962361768845782"/>
    <n v="0.24464551953594671"/>
    <n v="1122.5663716814158"/>
  </r>
  <r>
    <x v="4"/>
    <x v="9"/>
    <x v="0"/>
    <n v="30.44"/>
    <n v="30440"/>
    <n v="1975.2"/>
    <n v="19.7"/>
    <n v="64.2"/>
    <n v="149.6"/>
    <x v="1"/>
    <x v="0"/>
    <n v="8"/>
    <n v="1280"/>
    <n v="0.89900000000000002"/>
    <n v="89.9"/>
    <n v="69.5"/>
    <n v="0.03"/>
    <n v="0.34"/>
    <n v="0"/>
    <n v="0.14499999999999999"/>
    <n v="14.5"/>
    <n v="32"/>
    <n v="2.1"/>
    <n v="302"/>
    <n v="0.19962361768845782"/>
    <n v="0.24464551953594671"/>
    <n v="1545.1776649746193"/>
  </r>
  <r>
    <x v="5"/>
    <x v="9"/>
    <x v="0"/>
    <n v="36.520000000000003"/>
    <n v="36520"/>
    <n v="3241.5"/>
    <n v="25.3"/>
    <n v="82.3"/>
    <n v="91.2"/>
    <x v="2"/>
    <x v="1"/>
    <n v="7"/>
    <n v="1855"/>
    <n v="0.81599999999999995"/>
    <n v="81.599999999999994"/>
    <n v="29"/>
    <n v="0.08"/>
    <n v="0.4"/>
    <n v="0"/>
    <n v="0.17499999999999999"/>
    <n v="17.5"/>
    <n v="35"/>
    <n v="1.2"/>
    <n v="33"/>
    <n v="0.19962361768845782"/>
    <n v="0.24464551953594671"/>
    <n v="1443.4782608695652"/>
  </r>
  <r>
    <x v="6"/>
    <x v="9"/>
    <x v="0"/>
    <n v="43.81"/>
    <n v="43810"/>
    <n v="3372.4"/>
    <n v="49.9"/>
    <n v="124.5"/>
    <n v="39.200000000000003"/>
    <x v="2"/>
    <x v="0"/>
    <n v="26"/>
    <n v="5226"/>
    <n v="0.59399999999999997"/>
    <n v="59.4"/>
    <n v="86.9"/>
    <n v="0.23"/>
    <n v="0.46"/>
    <n v="0"/>
    <n v="0.21199999999999999"/>
    <n v="21.2"/>
    <n v="38"/>
    <n v="6.1"/>
    <n v="28"/>
    <n v="0.19962361768845782"/>
    <n v="0.24464551953594671"/>
    <n v="877.95591182364728"/>
  </r>
  <r>
    <x v="7"/>
    <x v="9"/>
    <x v="0"/>
    <n v="52.55"/>
    <n v="52550"/>
    <n v="4352.3999999999996"/>
    <n v="27.2"/>
    <n v="45.6"/>
    <n v="56.5"/>
    <x v="1"/>
    <x v="0"/>
    <n v="96"/>
    <n v="9216"/>
    <n v="0.78900000000000003"/>
    <n v="78.900000000000006"/>
    <n v="56.6"/>
    <n v="0.2"/>
    <n v="0.52"/>
    <n v="0"/>
    <n v="0.21299999999999999"/>
    <n v="21.3"/>
    <n v="41"/>
    <n v="38.4"/>
    <n v="269"/>
    <n v="0.19962361768845782"/>
    <n v="0.24464551953594671"/>
    <n v="1931.9852941176471"/>
  </r>
  <r>
    <x v="8"/>
    <x v="9"/>
    <x v="0"/>
    <n v="63.04"/>
    <n v="63040"/>
    <n v="7476.5"/>
    <n v="59.5"/>
    <n v="178.1"/>
    <n v="118.8"/>
    <x v="1"/>
    <x v="2"/>
    <n v="94"/>
    <n v="18142"/>
    <n v="0.94099999999999995"/>
    <n v="94.1"/>
    <n v="37.4"/>
    <n v="0.27"/>
    <n v="0.57999999999999996"/>
    <n v="0"/>
    <n v="0.23300000000000001"/>
    <n v="23.3"/>
    <n v="44"/>
    <n v="18.899999999999999"/>
    <n v="116"/>
    <n v="0.19962361768845782"/>
    <n v="0.24464551953594671"/>
    <n v="1059.4957983193278"/>
  </r>
  <r>
    <x v="9"/>
    <x v="9"/>
    <x v="0"/>
    <n v="75.63"/>
    <n v="75630"/>
    <n v="6040.8"/>
    <n v="56.6"/>
    <n v="114.2"/>
    <n v="81.599999999999994"/>
    <x v="0"/>
    <x v="2"/>
    <n v="119"/>
    <n v="14042"/>
    <n v="0.69599999999999995"/>
    <n v="69.599999999999994"/>
    <n v="95.3"/>
    <n v="0.43"/>
    <n v="0.64"/>
    <n v="0"/>
    <n v="0.215"/>
    <n v="21.5"/>
    <n v="47"/>
    <n v="42.9"/>
    <n v="365"/>
    <n v="0.19962361768845782"/>
    <n v="0.24464551953594671"/>
    <n v="1336.2190812720848"/>
  </r>
  <r>
    <x v="10"/>
    <x v="9"/>
    <x v="0"/>
    <n v="90.73"/>
    <n v="90730"/>
    <n v="9040.7999999999993"/>
    <n v="27.3"/>
    <n v="80.900000000000006"/>
    <n v="121.9"/>
    <x v="1"/>
    <x v="2"/>
    <n v="58"/>
    <n v="12934"/>
    <n v="0.83799999999999997"/>
    <n v="83.8"/>
    <n v="74.3"/>
    <n v="0.51"/>
    <n v="0.95"/>
    <n v="0.25"/>
    <n v="0.25900000000000001"/>
    <n v="25.9"/>
    <n v="50"/>
    <n v="17.5"/>
    <n v="45"/>
    <n v="0.19962361768845782"/>
    <n v="0.24464551953594671"/>
    <n v="3323.4432234432234"/>
  </r>
  <r>
    <x v="11"/>
    <x v="9"/>
    <x v="0"/>
    <n v="108.84"/>
    <n v="108840"/>
    <n v="16052.5"/>
    <n v="23.5"/>
    <n v="55.5"/>
    <n v="131.4"/>
    <x v="1"/>
    <x v="1"/>
    <n v="74"/>
    <n v="6882"/>
    <n v="0.52800000000000002"/>
    <n v="52.8"/>
    <n v="93"/>
    <n v="0.62"/>
    <n v="0.97"/>
    <n v="0.21"/>
    <n v="0.26899999999999996"/>
    <n v="26.9"/>
    <n v="53"/>
    <n v="14"/>
    <n v="450"/>
    <n v="0.19962361768845782"/>
    <n v="0.24464551953594671"/>
    <n v="4631.489361702128"/>
  </r>
  <r>
    <x v="12"/>
    <x v="9"/>
    <x v="0"/>
    <n v="130.57"/>
    <n v="130570"/>
    <n v="16606.900000000001"/>
    <n v="7"/>
    <n v="13.8"/>
    <n v="117.9"/>
    <x v="0"/>
    <x v="0"/>
    <n v="79"/>
    <n v="15563"/>
    <n v="0.873"/>
    <n v="87.3"/>
    <n v="84.1"/>
    <n v="0.59"/>
    <n v="0.82"/>
    <n v="0"/>
    <n v="0.27800000000000002"/>
    <n v="27.8"/>
    <n v="56"/>
    <n v="14.4"/>
    <n v="151"/>
    <n v="0.19962361768845782"/>
    <n v="0.24464551953594671"/>
    <n v="18652.857142857141"/>
  </r>
  <r>
    <x v="13"/>
    <x v="9"/>
    <x v="0"/>
    <n v="156.63999999999999"/>
    <n v="156640"/>
    <n v="10934.9"/>
    <n v="34.799999999999997"/>
    <n v="84.5"/>
    <n v="146.6"/>
    <x v="4"/>
    <x v="0"/>
    <n v="16"/>
    <n v="4768"/>
    <n v="0.82400000000000007"/>
    <n v="82.4"/>
    <n v="56.3"/>
    <n v="0.78"/>
    <n v="0.88"/>
    <n v="0"/>
    <n v="0.29199999999999998"/>
    <n v="29.2"/>
    <n v="59"/>
    <n v="3.1"/>
    <n v="336"/>
    <n v="0.19962361768845782"/>
    <n v="0.24464551953594671"/>
    <n v="4501.1494252873563"/>
  </r>
  <r>
    <x v="14"/>
    <x v="9"/>
    <x v="0"/>
    <n v="187.91"/>
    <n v="187910"/>
    <n v="27820.400000000001"/>
    <n v="15.2"/>
    <n v="35.1"/>
    <n v="95.1"/>
    <x v="2"/>
    <x v="0"/>
    <n v="43"/>
    <n v="5805"/>
    <n v="0.60199999999999998"/>
    <n v="60.2"/>
    <n v="88.5"/>
    <n v="0.84"/>
    <n v="0.94"/>
    <n v="0"/>
    <n v="0.37200000000000005"/>
    <n v="37.200000000000003"/>
    <n v="62"/>
    <n v="12.4"/>
    <n v="339"/>
    <n v="0.19962361768845782"/>
    <n v="0.24464551953594671"/>
    <n v="12362.5"/>
  </r>
  <r>
    <x v="15"/>
    <x v="9"/>
    <x v="0"/>
    <n v="225.42"/>
    <n v="225420"/>
    <n v="21692.5"/>
    <n v="25.9"/>
    <n v="72.5"/>
    <n v="95.5"/>
    <x v="1"/>
    <x v="1"/>
    <n v="92"/>
    <n v="26496"/>
    <n v="0.70700000000000007"/>
    <n v="70.7"/>
    <n v="28.9"/>
    <n v="0.92"/>
    <n v="1"/>
    <n v="0"/>
    <n v="0.36799999999999999"/>
    <n v="36.799999999999997"/>
    <n v="65"/>
    <n v="25.6"/>
    <n v="328"/>
    <n v="0.19962361768845782"/>
    <n v="0.24464551953594671"/>
    <n v="8703.4749034749038"/>
  </r>
  <r>
    <x v="0"/>
    <x v="10"/>
    <x v="1"/>
    <n v="7.96"/>
    <n v="7960"/>
    <n v="1001.9"/>
    <n v="45.7"/>
    <n v="70.2"/>
    <n v="45.2"/>
    <x v="3"/>
    <x v="2"/>
    <n v="83"/>
    <n v="21829"/>
    <n v="0.70299999999999996"/>
    <n v="70.3"/>
    <n v="98.9"/>
    <n v="0.11"/>
    <n v="0.1"/>
    <n v="0"/>
    <n v="0.121"/>
    <n v="12.1"/>
    <n v="20"/>
    <n v="15.8"/>
    <n v="35"/>
    <n v="0.11797009325813268"/>
    <n v="0.12846891294234219"/>
    <n v="174.17943107221006"/>
  </r>
  <r>
    <x v="1"/>
    <x v="10"/>
    <x v="1"/>
    <n v="8.9"/>
    <n v="8900"/>
    <n v="528.79999999999995"/>
    <n v="21.9"/>
    <n v="45.3"/>
    <n v="76.900000000000006"/>
    <x v="4"/>
    <x v="1"/>
    <n v="103"/>
    <n v="5665"/>
    <n v="0.67099999999999993"/>
    <n v="67.099999999999994"/>
    <n v="83.2"/>
    <n v="0.19"/>
    <n v="0.16"/>
    <n v="0"/>
    <n v="0.157"/>
    <n v="15.7"/>
    <n v="23"/>
    <n v="25"/>
    <n v="316"/>
    <n v="0.11797009325813268"/>
    <n v="0.12846891294234219"/>
    <n v="406.39269406392697"/>
  </r>
  <r>
    <x v="2"/>
    <x v="10"/>
    <x v="1"/>
    <n v="9.9499999999999993"/>
    <n v="9950"/>
    <n v="591.1"/>
    <n v="22.7"/>
    <n v="68.400000000000006"/>
    <n v="63.2"/>
    <x v="2"/>
    <x v="0"/>
    <n v="76"/>
    <n v="7904"/>
    <n v="0.70099999999999996"/>
    <n v="70.099999999999994"/>
    <n v="66.8"/>
    <n v="7.0000000000000007E-2"/>
    <n v="0.22"/>
    <n v="0"/>
    <n v="0.12300000000000001"/>
    <n v="12.3"/>
    <n v="26"/>
    <n v="23.6"/>
    <n v="395"/>
    <n v="0.11797009325813268"/>
    <n v="0.12846891294234219"/>
    <n v="438.32599118942733"/>
  </r>
  <r>
    <x v="3"/>
    <x v="10"/>
    <x v="1"/>
    <n v="11.12"/>
    <n v="11120"/>
    <n v="1564.2"/>
    <n v="18.100000000000001"/>
    <n v="62.6"/>
    <n v="46.9"/>
    <x v="0"/>
    <x v="1"/>
    <n v="5"/>
    <n v="1480"/>
    <n v="0.6409999999999999"/>
    <n v="64.099999999999994"/>
    <n v="84.9"/>
    <n v="0.14000000000000001"/>
    <n v="0.28000000000000003"/>
    <n v="0"/>
    <n v="0.14099999999999999"/>
    <n v="14.1"/>
    <n v="29"/>
    <n v="1"/>
    <n v="375"/>
    <n v="0.11797009325813268"/>
    <n v="0.12846891294234219"/>
    <n v="614.36464088397781"/>
  </r>
  <r>
    <x v="4"/>
    <x v="10"/>
    <x v="1"/>
    <n v="12.44"/>
    <n v="12440"/>
    <n v="1824.6"/>
    <n v="26.2"/>
    <n v="91"/>
    <n v="110.2"/>
    <x v="2"/>
    <x v="1"/>
    <n v="17"/>
    <n v="3587"/>
    <n v="0.79500000000000004"/>
    <n v="79.5"/>
    <n v="34.700000000000003"/>
    <n v="0.1"/>
    <n v="0.34"/>
    <n v="0"/>
    <n v="0.19500000000000001"/>
    <n v="19.5"/>
    <n v="32"/>
    <n v="3.3"/>
    <n v="334"/>
    <n v="0.11797009325813268"/>
    <n v="0.12846891294234219"/>
    <n v="474.80916030534354"/>
  </r>
  <r>
    <x v="5"/>
    <x v="10"/>
    <x v="1"/>
    <n v="13.9"/>
    <n v="13900"/>
    <n v="1695.3"/>
    <n v="53.6"/>
    <n v="89"/>
    <n v="117.8"/>
    <x v="1"/>
    <x v="0"/>
    <n v="65"/>
    <n v="17485"/>
    <n v="0.74299999999999999"/>
    <n v="74.3"/>
    <n v="78.3"/>
    <n v="0.16"/>
    <n v="0.4"/>
    <n v="0"/>
    <n v="0.23499999999999999"/>
    <n v="23.5"/>
    <n v="35"/>
    <n v="23.7"/>
    <n v="437"/>
    <n v="0.11797009325813268"/>
    <n v="0.12846891294234219"/>
    <n v="259.32835820895519"/>
  </r>
  <r>
    <x v="6"/>
    <x v="10"/>
    <x v="1"/>
    <n v="15.54"/>
    <n v="15540"/>
    <n v="1172.5"/>
    <n v="49.5"/>
    <n v="161.4"/>
    <n v="93.1"/>
    <x v="2"/>
    <x v="0"/>
    <n v="116"/>
    <n v="8120"/>
    <n v="0.82400000000000007"/>
    <n v="82.4"/>
    <n v="56.5"/>
    <n v="0.11"/>
    <n v="0.46"/>
    <n v="0"/>
    <n v="0.222"/>
    <n v="22.2"/>
    <n v="38"/>
    <n v="20.7"/>
    <n v="43"/>
    <n v="0.11797009325813268"/>
    <n v="0.12846891294234219"/>
    <n v="313.93939393939394"/>
  </r>
  <r>
    <x v="7"/>
    <x v="10"/>
    <x v="1"/>
    <n v="17.38"/>
    <n v="17380"/>
    <n v="2170.1"/>
    <n v="39.799999999999997"/>
    <n v="109"/>
    <n v="72.3"/>
    <x v="3"/>
    <x v="1"/>
    <n v="73"/>
    <n v="11461"/>
    <n v="0.51400000000000001"/>
    <n v="51.4"/>
    <n v="80.400000000000006"/>
    <n v="0.23"/>
    <n v="0.52"/>
    <n v="0"/>
    <n v="0.17600000000000002"/>
    <n v="17.600000000000001"/>
    <n v="41"/>
    <n v="19.600000000000001"/>
    <n v="427"/>
    <n v="0.11797009325813268"/>
    <n v="0.12846891294234219"/>
    <n v="436.68341708542715"/>
  </r>
  <r>
    <x v="8"/>
    <x v="10"/>
    <x v="1"/>
    <n v="19.43"/>
    <n v="19430"/>
    <n v="1106.5999999999999"/>
    <n v="12.1"/>
    <n v="39"/>
    <n v="57.3"/>
    <x v="3"/>
    <x v="0"/>
    <n v="76"/>
    <n v="22496"/>
    <n v="0.73099999999999998"/>
    <n v="73.099999999999994"/>
    <n v="47.9"/>
    <n v="0.4"/>
    <n v="0.57999999999999996"/>
    <n v="0"/>
    <n v="0.21100000000000002"/>
    <n v="21.1"/>
    <n v="44"/>
    <n v="16.7"/>
    <n v="200"/>
    <n v="0.11797009325813268"/>
    <n v="0.12846891294234219"/>
    <n v="1605.7851239669421"/>
  </r>
  <r>
    <x v="9"/>
    <x v="10"/>
    <x v="1"/>
    <n v="21.72"/>
    <n v="21720"/>
    <n v="3048.4"/>
    <n v="15.5"/>
    <n v="48.3"/>
    <n v="37.1"/>
    <x v="3"/>
    <x v="1"/>
    <n v="83"/>
    <n v="21497"/>
    <n v="0.752"/>
    <n v="75.2"/>
    <n v="33.299999999999997"/>
    <n v="0.49"/>
    <n v="0.64"/>
    <n v="0"/>
    <n v="0.24"/>
    <n v="24"/>
    <n v="47"/>
    <n v="26"/>
    <n v="385"/>
    <n v="0.11797009325813268"/>
    <n v="0.12846891294234219"/>
    <n v="1401.2903225806451"/>
  </r>
  <r>
    <x v="10"/>
    <x v="10"/>
    <x v="1"/>
    <n v="24.28"/>
    <n v="24280"/>
    <n v="1526.8"/>
    <n v="25.9"/>
    <n v="80.5"/>
    <n v="87.5"/>
    <x v="2"/>
    <x v="0"/>
    <n v="117"/>
    <n v="8658"/>
    <n v="0.626"/>
    <n v="62.6"/>
    <n v="89.4"/>
    <n v="0.47"/>
    <n v="1.05"/>
    <n v="0.35"/>
    <n v="0.24"/>
    <n v="24"/>
    <n v="50"/>
    <n v="29.9"/>
    <n v="92"/>
    <n v="0.11797009325813268"/>
    <n v="0.12846891294234219"/>
    <n v="937.45173745173747"/>
  </r>
  <r>
    <x v="11"/>
    <x v="10"/>
    <x v="1"/>
    <n v="27.14"/>
    <n v="27140"/>
    <n v="3635.8"/>
    <n v="58.9"/>
    <n v="161.69999999999999"/>
    <n v="97.1"/>
    <x v="0"/>
    <x v="2"/>
    <n v="23"/>
    <n v="5152"/>
    <n v="0.53100000000000003"/>
    <n v="53.1"/>
    <n v="44.7"/>
    <n v="0.61"/>
    <n v="1.35"/>
    <n v="0.59"/>
    <n v="0.30099999999999999"/>
    <n v="30.1"/>
    <n v="53"/>
    <n v="6"/>
    <n v="274"/>
    <n v="0.11797009325813268"/>
    <n v="0.12846891294234219"/>
    <n v="460.78098471986419"/>
  </r>
  <r>
    <x v="12"/>
    <x v="10"/>
    <x v="1"/>
    <n v="30.35"/>
    <n v="30350"/>
    <n v="2431.5"/>
    <n v="36.700000000000003"/>
    <n v="76.900000000000006"/>
    <n v="66"/>
    <x v="1"/>
    <x v="0"/>
    <n v="98"/>
    <n v="8820"/>
    <n v="0.80099999999999993"/>
    <n v="80.099999999999994"/>
    <n v="69.5"/>
    <n v="0.66"/>
    <n v="0.82"/>
    <n v="0"/>
    <n v="0.29399999999999998"/>
    <n v="29.4"/>
    <n v="56"/>
    <n v="15.9"/>
    <n v="434"/>
    <n v="0.11797009325813268"/>
    <n v="0.12846891294234219"/>
    <n v="826.97547683923699"/>
  </r>
  <r>
    <x v="13"/>
    <x v="10"/>
    <x v="1"/>
    <n v="33.92"/>
    <n v="33920"/>
    <n v="2664.1"/>
    <n v="26.9"/>
    <n v="54.7"/>
    <n v="124.7"/>
    <x v="1"/>
    <x v="2"/>
    <n v="89"/>
    <n v="17622"/>
    <n v="0.77"/>
    <n v="77"/>
    <n v="33.6"/>
    <n v="0.8"/>
    <n v="0.88"/>
    <n v="0"/>
    <n v="0.31900000000000001"/>
    <n v="31.9"/>
    <n v="59"/>
    <n v="14.8"/>
    <n v="210"/>
    <n v="0.11797009325813268"/>
    <n v="0.12846891294234219"/>
    <n v="1260.9665427509294"/>
  </r>
  <r>
    <x v="14"/>
    <x v="10"/>
    <x v="1"/>
    <n v="37.93"/>
    <n v="37930"/>
    <n v="5041.5"/>
    <n v="53"/>
    <n v="140.1"/>
    <n v="92.1"/>
    <x v="1"/>
    <x v="0"/>
    <n v="51"/>
    <n v="11067"/>
    <n v="0.84799999999999998"/>
    <n v="84.8"/>
    <n v="70.099999999999994"/>
    <n v="0.83"/>
    <n v="0.94"/>
    <n v="0"/>
    <n v="0.34600000000000003"/>
    <n v="34.6"/>
    <n v="62"/>
    <n v="11.7"/>
    <n v="35"/>
    <n v="0.11797009325813268"/>
    <n v="0.12846891294234219"/>
    <n v="715.66037735849056"/>
  </r>
  <r>
    <x v="15"/>
    <x v="10"/>
    <x v="1"/>
    <n v="42.4"/>
    <n v="42400"/>
    <n v="6140"/>
    <n v="27.8"/>
    <n v="85.6"/>
    <n v="106.8"/>
    <x v="1"/>
    <x v="0"/>
    <n v="59"/>
    <n v="14632"/>
    <n v="0.85400000000000009"/>
    <n v="85.4"/>
    <n v="97.8"/>
    <n v="0.88"/>
    <n v="1"/>
    <n v="0"/>
    <n v="0.34299999999999997"/>
    <n v="34.299999999999997"/>
    <n v="65"/>
    <n v="10.8"/>
    <n v="203"/>
    <n v="0.11797009325813268"/>
    <n v="0.12846891294234219"/>
    <n v="1525.1798561151079"/>
  </r>
  <r>
    <x v="0"/>
    <x v="11"/>
    <x v="1"/>
    <n v="4.8"/>
    <n v="4800"/>
    <n v="241.5"/>
    <n v="4.3"/>
    <n v="11.7"/>
    <n v="138.9"/>
    <x v="4"/>
    <x v="2"/>
    <n v="87"/>
    <n v="15051"/>
    <n v="0.71299999999999997"/>
    <n v="71.3"/>
    <n v="71.7"/>
    <n v="0.15"/>
    <n v="0.1"/>
    <n v="0"/>
    <n v="9.6000000000000002E-2"/>
    <n v="9.6"/>
    <n v="20"/>
    <n v="23.3"/>
    <n v="151"/>
    <n v="0.14460949196571371"/>
    <n v="0.20582061417956043"/>
    <n v="1116.2790697674418"/>
  </r>
  <r>
    <x v="1"/>
    <x v="11"/>
    <x v="1"/>
    <n v="5.5"/>
    <n v="5500"/>
    <n v="388.6"/>
    <n v="32"/>
    <n v="48.3"/>
    <n v="30.9"/>
    <x v="1"/>
    <x v="2"/>
    <n v="66"/>
    <n v="12210"/>
    <n v="0.65200000000000002"/>
    <n v="65.2"/>
    <n v="85.2"/>
    <n v="0.02"/>
    <n v="0.16"/>
    <n v="0"/>
    <n v="0.13200000000000001"/>
    <n v="13.2"/>
    <n v="23"/>
    <n v="10.5"/>
    <n v="442"/>
    <n v="0.14460949196571371"/>
    <n v="0.20582061417956043"/>
    <n v="171.875"/>
  </r>
  <r>
    <x v="2"/>
    <x v="11"/>
    <x v="1"/>
    <n v="6.29"/>
    <n v="6290"/>
    <n v="342.5"/>
    <n v="18.100000000000001"/>
    <n v="56.8"/>
    <n v="64.099999999999994"/>
    <x v="3"/>
    <x v="1"/>
    <n v="21"/>
    <n v="2877"/>
    <n v="0.75900000000000001"/>
    <n v="75.900000000000006"/>
    <n v="27.2"/>
    <n v="0.08"/>
    <n v="0.22"/>
    <n v="0"/>
    <n v="0.106"/>
    <n v="10.6"/>
    <n v="26"/>
    <n v="5.9"/>
    <n v="201"/>
    <n v="0.14460949196571371"/>
    <n v="0.20582061417956043"/>
    <n v="347.5138121546961"/>
  </r>
  <r>
    <x v="3"/>
    <x v="11"/>
    <x v="1"/>
    <n v="7.2"/>
    <n v="7200"/>
    <n v="644.1"/>
    <n v="26.5"/>
    <n v="61.5"/>
    <n v="138.9"/>
    <x v="4"/>
    <x v="2"/>
    <n v="113"/>
    <n v="6893"/>
    <n v="0.82299999999999995"/>
    <n v="82.3"/>
    <n v="96.6"/>
    <n v="0.08"/>
    <n v="0.28000000000000003"/>
    <n v="0"/>
    <n v="0.13699999999999998"/>
    <n v="13.7"/>
    <n v="29"/>
    <n v="36"/>
    <n v="462"/>
    <n v="0.14460949196571371"/>
    <n v="0.20582061417956043"/>
    <n v="271.69811320754718"/>
  </r>
  <r>
    <x v="4"/>
    <x v="11"/>
    <x v="1"/>
    <n v="8.24"/>
    <n v="8240"/>
    <n v="977.9"/>
    <n v="8.6"/>
    <n v="19.600000000000001"/>
    <n v="84.7"/>
    <x v="1"/>
    <x v="2"/>
    <n v="86"/>
    <n v="23908"/>
    <n v="0.53200000000000003"/>
    <n v="53.2"/>
    <n v="31"/>
    <n v="0.11"/>
    <n v="0.34"/>
    <n v="0"/>
    <n v="0.154"/>
    <n v="15.4"/>
    <n v="32"/>
    <n v="15.5"/>
    <n v="152"/>
    <n v="0.14460949196571371"/>
    <n v="0.20582061417956043"/>
    <n v="958.13953488372101"/>
  </r>
  <r>
    <x v="5"/>
    <x v="11"/>
    <x v="1"/>
    <n v="9.43"/>
    <n v="9430"/>
    <n v="1081.0999999999999"/>
    <n v="39.5"/>
    <n v="129.4"/>
    <n v="101.8"/>
    <x v="4"/>
    <x v="2"/>
    <n v="18"/>
    <n v="4662"/>
    <n v="0.56899999999999995"/>
    <n v="56.9"/>
    <n v="37.9"/>
    <n v="7.0000000000000007E-2"/>
    <n v="0.4"/>
    <n v="0"/>
    <n v="0.21299999999999999"/>
    <n v="21.3"/>
    <n v="35"/>
    <n v="3.3"/>
    <n v="463"/>
    <n v="0.14460949196571371"/>
    <n v="0.20582061417956043"/>
    <n v="238.73417721518987"/>
  </r>
  <r>
    <x v="6"/>
    <x v="11"/>
    <x v="1"/>
    <n v="10.8"/>
    <n v="10800"/>
    <n v="693.3"/>
    <n v="2.7"/>
    <n v="6.3"/>
    <n v="65.400000000000006"/>
    <x v="2"/>
    <x v="2"/>
    <n v="69"/>
    <n v="7176"/>
    <n v="0.55500000000000005"/>
    <n v="55.5"/>
    <n v="66.900000000000006"/>
    <n v="0.18"/>
    <n v="0.46"/>
    <n v="0"/>
    <n v="0.185"/>
    <n v="18.5"/>
    <n v="38"/>
    <n v="20.3"/>
    <n v="232"/>
    <n v="0.14460949196571371"/>
    <n v="0.20582061417956043"/>
    <n v="3999.9999999999995"/>
  </r>
  <r>
    <x v="7"/>
    <x v="11"/>
    <x v="1"/>
    <n v="12.36"/>
    <n v="12360"/>
    <n v="701.2"/>
    <n v="24.5"/>
    <n v="78.400000000000006"/>
    <n v="78.5"/>
    <x v="2"/>
    <x v="0"/>
    <n v="49"/>
    <n v="8232"/>
    <n v="0.70099999999999996"/>
    <n v="70.099999999999994"/>
    <n v="84.9"/>
    <n v="0.33"/>
    <n v="0.52"/>
    <n v="0"/>
    <n v="0.214"/>
    <n v="21.4"/>
    <n v="41"/>
    <n v="14"/>
    <n v="460"/>
    <n v="0.14460949196571371"/>
    <n v="0.20582061417956043"/>
    <n v="504.48979591836735"/>
  </r>
  <r>
    <x v="8"/>
    <x v="11"/>
    <x v="1"/>
    <n v="14.14"/>
    <n v="14140"/>
    <n v="1781.3"/>
    <n v="7.7"/>
    <n v="25.4"/>
    <n v="31.5"/>
    <x v="4"/>
    <x v="1"/>
    <n v="61"/>
    <n v="10187"/>
    <n v="0.73"/>
    <n v="73"/>
    <n v="37.4"/>
    <n v="0.45"/>
    <n v="0.57999999999999996"/>
    <n v="0"/>
    <n v="0.20600000000000002"/>
    <n v="20.6"/>
    <n v="44"/>
    <n v="19.899999999999999"/>
    <n v="16"/>
    <n v="0.14460949196571371"/>
    <n v="0.20582061417956043"/>
    <n v="1836.3636363636363"/>
  </r>
  <r>
    <x v="9"/>
    <x v="11"/>
    <x v="1"/>
    <n v="16.190000000000001"/>
    <n v="16190.000000000002"/>
    <n v="850.7"/>
    <n v="39.5"/>
    <n v="109.4"/>
    <n v="70.900000000000006"/>
    <x v="4"/>
    <x v="2"/>
    <n v="99"/>
    <n v="26532"/>
    <n v="0.80500000000000005"/>
    <n v="80.5"/>
    <n v="70.400000000000006"/>
    <n v="0.37"/>
    <n v="0.64"/>
    <n v="0"/>
    <n v="0.24100000000000002"/>
    <n v="24.1"/>
    <n v="47"/>
    <n v="25"/>
    <n v="427"/>
    <n v="0.14460949196571371"/>
    <n v="0.20582061417956043"/>
    <n v="409.87341772151905"/>
  </r>
  <r>
    <x v="10"/>
    <x v="11"/>
    <x v="1"/>
    <n v="18.53"/>
    <n v="18530"/>
    <n v="1121.5999999999999"/>
    <n v="11.7"/>
    <n v="40.299999999999997"/>
    <n v="57.4"/>
    <x v="0"/>
    <x v="0"/>
    <n v="92"/>
    <n v="21712"/>
    <n v="0.51800000000000002"/>
    <n v="51.8"/>
    <n v="27.3"/>
    <n v="0.57999999999999996"/>
    <n v="1.24"/>
    <n v="0.54"/>
    <n v="0.307"/>
    <n v="30.7"/>
    <n v="50"/>
    <n v="26"/>
    <n v="457"/>
    <n v="0.14460949196571371"/>
    <n v="0.20582061417956043"/>
    <n v="1583.7606837606838"/>
  </r>
  <r>
    <x v="11"/>
    <x v="11"/>
    <x v="1"/>
    <n v="21.21"/>
    <n v="21210"/>
    <n v="1372.4"/>
    <n v="30.3"/>
    <n v="53.3"/>
    <n v="130.30000000000001"/>
    <x v="3"/>
    <x v="1"/>
    <n v="41"/>
    <n v="8979"/>
    <n v="0.7"/>
    <n v="70"/>
    <n v="99.6"/>
    <n v="0.5"/>
    <n v="1.1299999999999999"/>
    <n v="0.37"/>
    <n v="0.26500000000000001"/>
    <n v="26.5"/>
    <n v="53"/>
    <n v="10"/>
    <n v="210"/>
    <n v="0.14460949196571371"/>
    <n v="0.20582061417956043"/>
    <n v="700"/>
  </r>
  <r>
    <x v="12"/>
    <x v="11"/>
    <x v="1"/>
    <n v="24.28"/>
    <n v="24280"/>
    <n v="2149.6"/>
    <n v="21.7"/>
    <n v="56.2"/>
    <n v="48.5"/>
    <x v="0"/>
    <x v="1"/>
    <n v="53"/>
    <n v="10070"/>
    <n v="0.877"/>
    <n v="87.7"/>
    <n v="51.7"/>
    <n v="0.65"/>
    <n v="0.82"/>
    <n v="0"/>
    <n v="0.309"/>
    <n v="30.9"/>
    <n v="56"/>
    <n v="15.1"/>
    <n v="363"/>
    <n v="0.14460949196571371"/>
    <n v="0.20582061417956043"/>
    <n v="1118.8940092165899"/>
  </r>
  <r>
    <x v="13"/>
    <x v="11"/>
    <x v="1"/>
    <n v="27.79"/>
    <n v="27790"/>
    <n v="1549.4"/>
    <n v="21.9"/>
    <n v="44.6"/>
    <n v="146"/>
    <x v="1"/>
    <x v="1"/>
    <n v="107"/>
    <n v="12519"/>
    <n v="0.56299999999999994"/>
    <n v="56.3"/>
    <n v="58.3"/>
    <n v="0.7"/>
    <n v="0.88"/>
    <n v="0"/>
    <n v="0.30399999999999999"/>
    <n v="30.4"/>
    <n v="59"/>
    <n v="25.3"/>
    <n v="120"/>
    <n v="0.14460949196571371"/>
    <n v="0.20582061417956043"/>
    <n v="1268.9497716894978"/>
  </r>
  <r>
    <x v="14"/>
    <x v="11"/>
    <x v="1"/>
    <n v="31.8"/>
    <n v="31800"/>
    <n v="4078.3"/>
    <n v="44.6"/>
    <n v="93.7"/>
    <n v="69.099999999999994"/>
    <x v="0"/>
    <x v="2"/>
    <n v="28"/>
    <n v="8372"/>
    <n v="0.71400000000000008"/>
    <n v="71.400000000000006"/>
    <n v="65.7"/>
    <n v="0.79"/>
    <n v="0.94"/>
    <n v="0"/>
    <n v="0.34499999999999997"/>
    <n v="34.5"/>
    <n v="62"/>
    <n v="7.4"/>
    <n v="156"/>
    <n v="0.14460949196571371"/>
    <n v="0.20582061417956043"/>
    <n v="713.0044843049327"/>
  </r>
  <r>
    <x v="15"/>
    <x v="11"/>
    <x v="1"/>
    <n v="36.4"/>
    <n v="36400"/>
    <n v="4000.9"/>
    <n v="22.5"/>
    <n v="54.4"/>
    <n v="34.6"/>
    <x v="4"/>
    <x v="2"/>
    <n v="15"/>
    <n v="4200"/>
    <n v="0.89500000000000002"/>
    <n v="89.5"/>
    <n v="95.8"/>
    <n v="0.91"/>
    <n v="1"/>
    <n v="0"/>
    <n v="0.33"/>
    <n v="33"/>
    <n v="65"/>
    <n v="2.7"/>
    <n v="26"/>
    <n v="0.14460949196571371"/>
    <n v="0.20582061417956043"/>
    <n v="1617.7777777777778"/>
  </r>
  <r>
    <x v="0"/>
    <x v="12"/>
    <x v="2"/>
    <n v="14.29"/>
    <n v="14290"/>
    <n v="1417.2"/>
    <n v="19.5"/>
    <n v="48.5"/>
    <n v="92.7"/>
    <x v="3"/>
    <x v="1"/>
    <n v="66"/>
    <n v="17490"/>
    <n v="0.91299999999999992"/>
    <n v="91.3"/>
    <n v="52.2"/>
    <n v="0.11"/>
    <n v="0.1"/>
    <n v="0"/>
    <n v="9.3000000000000013E-2"/>
    <n v="9.3000000000000007"/>
    <n v="20"/>
    <n v="17.2"/>
    <n v="474"/>
    <n v="0.15256486027730398"/>
    <n v="0.16977368615490174"/>
    <n v="732.82051282051282"/>
  </r>
  <r>
    <x v="1"/>
    <x v="12"/>
    <x v="2"/>
    <n v="16.47"/>
    <n v="16470"/>
    <n v="2082.4"/>
    <n v="35.299999999999997"/>
    <n v="120.3"/>
    <n v="54.1"/>
    <x v="4"/>
    <x v="2"/>
    <n v="77"/>
    <n v="9317"/>
    <n v="0.88099999999999989"/>
    <n v="88.1"/>
    <n v="92"/>
    <n v="0.16"/>
    <n v="0.16"/>
    <n v="0"/>
    <n v="0.11"/>
    <n v="11"/>
    <n v="23"/>
    <n v="28"/>
    <n v="156"/>
    <n v="0.15256486027730398"/>
    <n v="0.16977368615490174"/>
    <n v="466.57223796033998"/>
  </r>
  <r>
    <x v="2"/>
    <x v="12"/>
    <x v="2"/>
    <n v="18.98"/>
    <n v="18980"/>
    <n v="1007.5"/>
    <n v="58.3"/>
    <n v="113.3"/>
    <n v="118.1"/>
    <x v="3"/>
    <x v="1"/>
    <n v="118"/>
    <n v="32214"/>
    <n v="0.81200000000000006"/>
    <n v="81.2"/>
    <n v="35.1"/>
    <n v="0.04"/>
    <n v="0.22"/>
    <n v="0"/>
    <n v="0.11599999999999999"/>
    <n v="11.6"/>
    <n v="26"/>
    <n v="45.1"/>
    <n v="135"/>
    <n v="0.15256486027730398"/>
    <n v="0.16977368615490174"/>
    <n v="325.55746140651803"/>
  </r>
  <r>
    <x v="3"/>
    <x v="12"/>
    <x v="2"/>
    <n v="21.88"/>
    <n v="21880"/>
    <n v="1823.2"/>
    <n v="44.5"/>
    <n v="113.8"/>
    <n v="125.2"/>
    <x v="2"/>
    <x v="2"/>
    <n v="39"/>
    <n v="2652"/>
    <n v="0.54"/>
    <n v="54"/>
    <n v="25.2"/>
    <n v="0.15"/>
    <n v="0.28000000000000003"/>
    <n v="0"/>
    <n v="0.16"/>
    <n v="16"/>
    <n v="29"/>
    <n v="7.8"/>
    <n v="76"/>
    <n v="0.15256486027730398"/>
    <n v="0.16977368615490174"/>
    <n v="491.68539325842698"/>
  </r>
  <r>
    <x v="4"/>
    <x v="12"/>
    <x v="2"/>
    <n v="25.21"/>
    <n v="25210"/>
    <n v="3127.7"/>
    <n v="10.3"/>
    <n v="30.9"/>
    <n v="122.3"/>
    <x v="3"/>
    <x v="0"/>
    <n v="77"/>
    <n v="13552"/>
    <n v="0.54700000000000004"/>
    <n v="54.7"/>
    <n v="54.9"/>
    <n v="0.14000000000000001"/>
    <n v="0.34"/>
    <n v="0"/>
    <n v="0.17699999999999999"/>
    <n v="17.7"/>
    <n v="32"/>
    <n v="28.6"/>
    <n v="299"/>
    <n v="0.15256486027730398"/>
    <n v="0.16977368615490174"/>
    <n v="2447.5728155339802"/>
  </r>
  <r>
    <x v="5"/>
    <x v="12"/>
    <x v="2"/>
    <n v="29.06"/>
    <n v="29060"/>
    <n v="2636.2"/>
    <n v="5.8"/>
    <n v="12.8"/>
    <n v="43.3"/>
    <x v="2"/>
    <x v="2"/>
    <n v="64"/>
    <n v="16256"/>
    <n v="0.93"/>
    <n v="93"/>
    <n v="64.2"/>
    <n v="0.09"/>
    <n v="0.4"/>
    <n v="0"/>
    <n v="0.16800000000000001"/>
    <n v="16.8"/>
    <n v="35"/>
    <n v="24.8"/>
    <n v="25"/>
    <n v="0.15256486027730398"/>
    <n v="0.16977368615490174"/>
    <n v="5010.3448275862074"/>
  </r>
  <r>
    <x v="6"/>
    <x v="12"/>
    <x v="2"/>
    <n v="33.5"/>
    <n v="33500"/>
    <n v="4495.3"/>
    <n v="16"/>
    <n v="39.4"/>
    <n v="47.4"/>
    <x v="1"/>
    <x v="0"/>
    <n v="94"/>
    <n v="5828"/>
    <n v="0.626"/>
    <n v="62.6"/>
    <n v="85.3"/>
    <n v="0.14000000000000001"/>
    <n v="0.46"/>
    <n v="0"/>
    <n v="0.20699999999999999"/>
    <n v="20.7"/>
    <n v="38"/>
    <n v="29.8"/>
    <n v="471"/>
    <n v="0.15256486027730398"/>
    <n v="0.16977368615490174"/>
    <n v="2093.75"/>
  </r>
  <r>
    <x v="7"/>
    <x v="12"/>
    <x v="2"/>
    <n v="38.61"/>
    <n v="38610"/>
    <n v="2015.3"/>
    <n v="35.799999999999997"/>
    <n v="114.1"/>
    <n v="95.9"/>
    <x v="3"/>
    <x v="2"/>
    <n v="34"/>
    <n v="7820"/>
    <n v="0.68700000000000006"/>
    <n v="68.7"/>
    <n v="82"/>
    <n v="0.24"/>
    <n v="0.52"/>
    <n v="0"/>
    <n v="0.20300000000000001"/>
    <n v="20.3"/>
    <n v="41"/>
    <n v="5.4"/>
    <n v="40"/>
    <n v="0.15256486027730398"/>
    <n v="0.16977368615490174"/>
    <n v="1078.4916201117319"/>
  </r>
  <r>
    <x v="8"/>
    <x v="12"/>
    <x v="2"/>
    <n v="44.5"/>
    <n v="44500"/>
    <n v="4224.3"/>
    <n v="36"/>
    <n v="98.9"/>
    <n v="38.6"/>
    <x v="1"/>
    <x v="0"/>
    <n v="36"/>
    <n v="5868"/>
    <n v="0.87"/>
    <n v="87"/>
    <n v="85.3"/>
    <n v="0.34"/>
    <n v="0.57999999999999996"/>
    <n v="0"/>
    <n v="0.253"/>
    <n v="25.3"/>
    <n v="44"/>
    <n v="7.6"/>
    <n v="31"/>
    <n v="0.15256486027730398"/>
    <n v="0.16977368615490174"/>
    <n v="1236.1111111111111"/>
  </r>
  <r>
    <x v="9"/>
    <x v="12"/>
    <x v="2"/>
    <n v="51.29"/>
    <n v="51290"/>
    <n v="7266.2"/>
    <n v="43.8"/>
    <n v="100.9"/>
    <n v="49"/>
    <x v="3"/>
    <x v="2"/>
    <n v="38"/>
    <n v="4978"/>
    <n v="0.83700000000000008"/>
    <n v="83.7"/>
    <n v="48.8"/>
    <n v="0.37"/>
    <n v="0.64"/>
    <n v="0"/>
    <n v="0.253"/>
    <n v="25.3"/>
    <n v="47"/>
    <n v="13.5"/>
    <n v="488"/>
    <n v="0.15256486027730398"/>
    <n v="0.16977368615490174"/>
    <n v="1171.0045662100458"/>
  </r>
  <r>
    <x v="10"/>
    <x v="12"/>
    <x v="2"/>
    <n v="59.11"/>
    <n v="59110"/>
    <n v="6463.7"/>
    <n v="54"/>
    <n v="143.9"/>
    <n v="86"/>
    <x v="0"/>
    <x v="1"/>
    <n v="10"/>
    <n v="1180"/>
    <n v="0.872"/>
    <n v="87.2"/>
    <n v="34.700000000000003"/>
    <n v="0.54"/>
    <n v="0.98"/>
    <n v="0.28000000000000003"/>
    <n v="0.28499999999999998"/>
    <n v="28.5"/>
    <n v="50"/>
    <n v="3.9"/>
    <n v="146"/>
    <n v="0.15256486027730398"/>
    <n v="0.16977368615490174"/>
    <n v="1094.6296296296296"/>
  </r>
  <r>
    <x v="11"/>
    <x v="12"/>
    <x v="2"/>
    <n v="68.13"/>
    <n v="68130"/>
    <n v="9482.9"/>
    <n v="27.2"/>
    <n v="90.2"/>
    <n v="75.3"/>
    <x v="2"/>
    <x v="1"/>
    <n v="80"/>
    <n v="18240"/>
    <n v="0.72199999999999998"/>
    <n v="72.2"/>
    <n v="54.1"/>
    <n v="0.63"/>
    <n v="1.3"/>
    <n v="0.54"/>
    <n v="0.27"/>
    <n v="27"/>
    <n v="53"/>
    <n v="13.8"/>
    <n v="484"/>
    <n v="0.15256486027730398"/>
    <n v="0.16977368615490174"/>
    <n v="2504.7794117647059"/>
  </r>
  <r>
    <x v="12"/>
    <x v="12"/>
    <x v="2"/>
    <n v="78.53"/>
    <n v="78530"/>
    <n v="5018.7"/>
    <n v="16.7"/>
    <n v="54.4"/>
    <n v="51.9"/>
    <x v="1"/>
    <x v="1"/>
    <n v="28"/>
    <n v="4396"/>
    <n v="0.92500000000000004"/>
    <n v="92.5"/>
    <n v="45.2"/>
    <n v="0.68"/>
    <n v="0.82"/>
    <n v="0"/>
    <n v="0.318"/>
    <n v="31.8"/>
    <n v="56"/>
    <n v="5.0999999999999996"/>
    <n v="349"/>
    <n v="0.15256486027730398"/>
    <n v="0.16977368615490174"/>
    <n v="4702.3952095808381"/>
  </r>
  <r>
    <x v="13"/>
    <x v="12"/>
    <x v="2"/>
    <n v="90.51"/>
    <n v="90510"/>
    <n v="4961.5"/>
    <n v="22.9"/>
    <n v="78.099999999999994"/>
    <n v="90"/>
    <x v="2"/>
    <x v="0"/>
    <n v="45"/>
    <n v="6660"/>
    <n v="0.84699999999999998"/>
    <n v="84.7"/>
    <n v="25.2"/>
    <n v="0.77"/>
    <n v="0.88"/>
    <n v="0"/>
    <n v="0.34100000000000003"/>
    <n v="34.1"/>
    <n v="59"/>
    <n v="11.9"/>
    <n v="464"/>
    <n v="0.15256486027730398"/>
    <n v="0.16977368615490174"/>
    <n v="3952.4017467248909"/>
  </r>
  <r>
    <x v="14"/>
    <x v="12"/>
    <x v="2"/>
    <n v="104.32"/>
    <n v="104320"/>
    <n v="13792.6"/>
    <n v="51.3"/>
    <n v="98.7"/>
    <n v="108.9"/>
    <x v="4"/>
    <x v="2"/>
    <n v="79"/>
    <n v="8137"/>
    <n v="0.83900000000000008"/>
    <n v="83.9"/>
    <n v="27.7"/>
    <n v="0.8"/>
    <n v="0.94"/>
    <n v="0"/>
    <n v="0.36200000000000004"/>
    <n v="36.200000000000003"/>
    <n v="62"/>
    <n v="29.2"/>
    <n v="402"/>
    <n v="0.15256486027730398"/>
    <n v="0.16977368615490174"/>
    <n v="2033.5282651072125"/>
  </r>
  <r>
    <x v="15"/>
    <x v="12"/>
    <x v="2"/>
    <n v="120.23"/>
    <n v="120230"/>
    <n v="14892.2"/>
    <n v="20.3"/>
    <n v="56.6"/>
    <n v="77.400000000000006"/>
    <x v="1"/>
    <x v="2"/>
    <n v="108"/>
    <n v="11124"/>
    <n v="0.629"/>
    <n v="62.9"/>
    <n v="52.6"/>
    <n v="0.92"/>
    <n v="1"/>
    <n v="0"/>
    <n v="0.33200000000000002"/>
    <n v="33.200000000000003"/>
    <n v="65"/>
    <n v="21.6"/>
    <n v="322"/>
    <n v="0.15256486027730398"/>
    <n v="0.16977368615490174"/>
    <n v="5922.6600985221676"/>
  </r>
  <r>
    <x v="0"/>
    <x v="13"/>
    <x v="2"/>
    <n v="12.53"/>
    <n v="12530"/>
    <n v="1488.2"/>
    <n v="16"/>
    <n v="53.3"/>
    <n v="130.6"/>
    <x v="3"/>
    <x v="2"/>
    <n v="85"/>
    <n v="12665"/>
    <n v="0.83099999999999996"/>
    <n v="83.1"/>
    <n v="49.8"/>
    <n v="0.05"/>
    <n v="0.1"/>
    <n v="0"/>
    <n v="0.10199999999999999"/>
    <n v="10.199999999999999"/>
    <n v="20"/>
    <n v="32.9"/>
    <n v="277"/>
    <n v="0.2063791889231521"/>
    <n v="0.21133989853836255"/>
    <n v="783.125"/>
  </r>
  <r>
    <x v="1"/>
    <x v="13"/>
    <x v="2"/>
    <n v="15.11"/>
    <n v="15110"/>
    <n v="1456.9"/>
    <n v="57.9"/>
    <n v="146.9"/>
    <n v="111.3"/>
    <x v="4"/>
    <x v="0"/>
    <n v="88"/>
    <n v="14784"/>
    <n v="0.8859999999999999"/>
    <n v="88.6"/>
    <n v="68.2"/>
    <n v="0.1"/>
    <n v="0.16"/>
    <n v="0"/>
    <n v="0.11699999999999999"/>
    <n v="11.7"/>
    <n v="23"/>
    <n v="30.2"/>
    <n v="179"/>
    <n v="0.2063791889231521"/>
    <n v="0.21133989853836255"/>
    <n v="260.96718480138168"/>
  </r>
  <r>
    <x v="2"/>
    <x v="13"/>
    <x v="2"/>
    <n v="18.23"/>
    <n v="18230"/>
    <n v="1130.7"/>
    <n v="17.399999999999999"/>
    <n v="26.7"/>
    <n v="65.2"/>
    <x v="1"/>
    <x v="2"/>
    <n v="37"/>
    <n v="3848"/>
    <n v="0.66700000000000004"/>
    <n v="66.7"/>
    <n v="25.1"/>
    <n v="0.13"/>
    <n v="0.22"/>
    <n v="0"/>
    <n v="0.14499999999999999"/>
    <n v="14.5"/>
    <n v="26"/>
    <n v="10.3"/>
    <n v="52"/>
    <n v="0.2063791889231521"/>
    <n v="0.21133989853836255"/>
    <n v="1047.7011494252874"/>
  </r>
  <r>
    <x v="3"/>
    <x v="13"/>
    <x v="2"/>
    <n v="21.99"/>
    <n v="21990"/>
    <n v="3033.5"/>
    <n v="41.2"/>
    <n v="106.8"/>
    <n v="129.6"/>
    <x v="0"/>
    <x v="0"/>
    <n v="91"/>
    <n v="24206"/>
    <n v="0.56899999999999995"/>
    <n v="56.9"/>
    <n v="92.5"/>
    <n v="0.13"/>
    <n v="0.28000000000000003"/>
    <n v="0"/>
    <n v="0.19"/>
    <n v="19"/>
    <n v="29"/>
    <n v="20.3"/>
    <n v="422"/>
    <n v="0.2063791889231521"/>
    <n v="0.21133989853836255"/>
    <n v="533.73786407766988"/>
  </r>
  <r>
    <x v="4"/>
    <x v="13"/>
    <x v="2"/>
    <n v="26.53"/>
    <n v="26530"/>
    <n v="2611.1"/>
    <n v="45.4"/>
    <n v="111"/>
    <n v="36.9"/>
    <x v="0"/>
    <x v="0"/>
    <n v="94"/>
    <n v="14382"/>
    <n v="0.79"/>
    <n v="79"/>
    <n v="67.099999999999994"/>
    <n v="0.06"/>
    <n v="0.34"/>
    <n v="0"/>
    <n v="0.151"/>
    <n v="15.1"/>
    <n v="32"/>
    <n v="36.299999999999997"/>
    <n v="287"/>
    <n v="0.2063791889231521"/>
    <n v="0.21133989853836255"/>
    <n v="584.36123348017622"/>
  </r>
  <r>
    <x v="5"/>
    <x v="13"/>
    <x v="2"/>
    <n v="32.01"/>
    <n v="32009.999999999996"/>
    <n v="2227.4"/>
    <n v="10.199999999999999"/>
    <n v="27.9"/>
    <n v="123.8"/>
    <x v="0"/>
    <x v="1"/>
    <n v="49"/>
    <n v="6468"/>
    <n v="0.57399999999999995"/>
    <n v="57.4"/>
    <n v="73.2"/>
    <n v="0.04"/>
    <n v="0.4"/>
    <n v="0"/>
    <n v="0.17100000000000001"/>
    <n v="17.100000000000001"/>
    <n v="35"/>
    <n v="9.1999999999999993"/>
    <n v="330"/>
    <n v="0.2063791889231521"/>
    <n v="0.21133989853836255"/>
    <n v="3138.2352941176468"/>
  </r>
  <r>
    <x v="6"/>
    <x v="13"/>
    <x v="2"/>
    <n v="38.619999999999997"/>
    <n v="38620"/>
    <n v="3052.7"/>
    <n v="29.3"/>
    <n v="96"/>
    <n v="114.9"/>
    <x v="0"/>
    <x v="2"/>
    <n v="118"/>
    <n v="8850"/>
    <n v="0.70099999999999996"/>
    <n v="70.099999999999994"/>
    <n v="35.1"/>
    <n v="0.21"/>
    <n v="0.46"/>
    <n v="0"/>
    <n v="0.19500000000000001"/>
    <n v="19.5"/>
    <n v="38"/>
    <n v="22"/>
    <n v="443"/>
    <n v="0.2063791889231521"/>
    <n v="0.21133989853836255"/>
    <n v="1318.0887372013651"/>
  </r>
  <r>
    <x v="7"/>
    <x v="13"/>
    <x v="2"/>
    <n v="46.59"/>
    <n v="46590"/>
    <n v="3979.8"/>
    <n v="57"/>
    <n v="195.4"/>
    <n v="104.5"/>
    <x v="2"/>
    <x v="0"/>
    <n v="66"/>
    <n v="8910"/>
    <n v="0.69499999999999995"/>
    <n v="69.5"/>
    <n v="28.3"/>
    <n v="0.31"/>
    <n v="0.52"/>
    <n v="0"/>
    <n v="0.20100000000000001"/>
    <n v="20.100000000000001"/>
    <n v="41"/>
    <n v="22.5"/>
    <n v="487"/>
    <n v="0.2063791889231521"/>
    <n v="0.21133989853836255"/>
    <n v="817.36842105263156"/>
  </r>
  <r>
    <x v="8"/>
    <x v="13"/>
    <x v="2"/>
    <n v="56.2"/>
    <n v="56200"/>
    <n v="7855.4"/>
    <n v="41.1"/>
    <n v="72.900000000000006"/>
    <n v="149.4"/>
    <x v="1"/>
    <x v="0"/>
    <n v="54"/>
    <n v="3240"/>
    <n v="0.54899999999999993"/>
    <n v="54.9"/>
    <n v="72.7"/>
    <n v="0.34"/>
    <n v="0.57999999999999996"/>
    <n v="0"/>
    <n v="0.25600000000000001"/>
    <n v="25.6"/>
    <n v="44"/>
    <n v="13.4"/>
    <n v="261"/>
    <n v="0.2063791889231521"/>
    <n v="0.21133989853836255"/>
    <n v="1367.396593673966"/>
  </r>
  <r>
    <x v="9"/>
    <x v="13"/>
    <x v="2"/>
    <n v="67.8"/>
    <n v="67800"/>
    <n v="5150"/>
    <n v="27.3"/>
    <n v="73.5"/>
    <n v="38.799999999999997"/>
    <x v="1"/>
    <x v="1"/>
    <n v="86"/>
    <n v="17458"/>
    <n v="0.82900000000000007"/>
    <n v="82.9"/>
    <n v="51.6"/>
    <n v="0.42"/>
    <n v="0.64"/>
    <n v="0"/>
    <n v="0.25700000000000001"/>
    <n v="25.7"/>
    <n v="47"/>
    <n v="13.2"/>
    <n v="282"/>
    <n v="0.2063791889231521"/>
    <n v="0.21133989853836255"/>
    <n v="2483.5164835164833"/>
  </r>
  <r>
    <x v="10"/>
    <x v="13"/>
    <x v="2"/>
    <n v="81.8"/>
    <n v="81800"/>
    <n v="10284.700000000001"/>
    <n v="11.4"/>
    <n v="27.9"/>
    <n v="116.2"/>
    <x v="4"/>
    <x v="1"/>
    <n v="115"/>
    <n v="16445"/>
    <n v="0.93200000000000005"/>
    <n v="93.2"/>
    <n v="82.3"/>
    <n v="0.52"/>
    <n v="1.28"/>
    <n v="0.57999999999999996"/>
    <n v="0.26700000000000002"/>
    <n v="26.7"/>
    <n v="50"/>
    <n v="35.700000000000003"/>
    <n v="102"/>
    <n v="0.2063791889231521"/>
    <n v="0.21133989853836255"/>
    <n v="7175.4385964912281"/>
  </r>
  <r>
    <x v="11"/>
    <x v="13"/>
    <x v="2"/>
    <n v="98.68"/>
    <n v="98680"/>
    <n v="7190.8"/>
    <n v="38.799999999999997"/>
    <n v="75.400000000000006"/>
    <n v="68.599999999999994"/>
    <x v="3"/>
    <x v="0"/>
    <n v="70"/>
    <n v="7280"/>
    <n v="0.69299999999999995"/>
    <n v="69.3"/>
    <n v="27.2"/>
    <n v="0.61"/>
    <n v="1.1599999999999999"/>
    <n v="0.4"/>
    <n v="0.27899999999999997"/>
    <n v="27.9"/>
    <n v="53"/>
    <n v="23.3"/>
    <n v="460"/>
    <n v="0.2063791889231521"/>
    <n v="0.21133989853836255"/>
    <n v="2543.2989690721652"/>
  </r>
  <r>
    <x v="12"/>
    <x v="13"/>
    <x v="2"/>
    <n v="119.05"/>
    <n v="119050"/>
    <n v="11685.4"/>
    <n v="38.9"/>
    <n v="65.3"/>
    <n v="33.9"/>
    <x v="2"/>
    <x v="0"/>
    <n v="103"/>
    <n v="16686"/>
    <n v="0.78"/>
    <n v="78"/>
    <n v="99.4"/>
    <n v="0.83"/>
    <n v="0.82"/>
    <n v="0"/>
    <n v="0.27100000000000002"/>
    <n v="27.1"/>
    <n v="56"/>
    <n v="26.9"/>
    <n v="358"/>
    <n v="0.2063791889231521"/>
    <n v="0.21133989853836255"/>
    <n v="3060.4113110539847"/>
  </r>
  <r>
    <x v="13"/>
    <x v="13"/>
    <x v="2"/>
    <n v="143.62"/>
    <n v="143620"/>
    <n v="16611.900000000001"/>
    <n v="15.9"/>
    <n v="30"/>
    <n v="140.19999999999999"/>
    <x v="4"/>
    <x v="2"/>
    <n v="91"/>
    <n v="5369"/>
    <n v="0.60299999999999998"/>
    <n v="60.3"/>
    <n v="96.7"/>
    <n v="0.64"/>
    <n v="0.88"/>
    <n v="0"/>
    <n v="0.33500000000000002"/>
    <n v="33.5"/>
    <n v="59"/>
    <n v="32.799999999999997"/>
    <n v="287"/>
    <n v="0.2063791889231521"/>
    <n v="0.21133989853836255"/>
    <n v="9032.7044025157229"/>
  </r>
  <r>
    <x v="14"/>
    <x v="13"/>
    <x v="2"/>
    <n v="173.27"/>
    <n v="173270"/>
    <n v="25131.8"/>
    <n v="35.700000000000003"/>
    <n v="84.8"/>
    <n v="99.6"/>
    <x v="3"/>
    <x v="2"/>
    <n v="103"/>
    <n v="12875"/>
    <n v="0.65900000000000003"/>
    <n v="65.900000000000006"/>
    <n v="92.1"/>
    <n v="0.8"/>
    <n v="0.94"/>
    <n v="0"/>
    <n v="0.34700000000000003"/>
    <n v="34.700000000000003"/>
    <n v="62"/>
    <n v="35"/>
    <n v="336"/>
    <n v="0.2063791889231521"/>
    <n v="0.21133989853836255"/>
    <n v="4853.5014005602234"/>
  </r>
  <r>
    <x v="15"/>
    <x v="13"/>
    <x v="2"/>
    <n v="209.03"/>
    <n v="209030"/>
    <n v="26402.9"/>
    <n v="49.7"/>
    <n v="163"/>
    <n v="95.3"/>
    <x v="3"/>
    <x v="1"/>
    <n v="113"/>
    <n v="30510"/>
    <n v="0.51500000000000001"/>
    <n v="51.5"/>
    <n v="72.7"/>
    <n v="0.88"/>
    <n v="1"/>
    <n v="0"/>
    <n v="0.37200000000000005"/>
    <n v="37.200000000000003"/>
    <n v="65"/>
    <n v="24.2"/>
    <n v="484"/>
    <n v="0.2063791889231521"/>
    <n v="0.21133989853836255"/>
    <n v="4205.835010060362"/>
  </r>
  <r>
    <x v="0"/>
    <x v="14"/>
    <x v="2"/>
    <n v="1.97"/>
    <n v="1970"/>
    <n v="257.7"/>
    <n v="50.5"/>
    <n v="109.3"/>
    <n v="113.2"/>
    <x v="3"/>
    <x v="0"/>
    <n v="28"/>
    <n v="2044"/>
    <n v="0.89400000000000002"/>
    <n v="89.4"/>
    <n v="65.400000000000006"/>
    <n v="-0.03"/>
    <n v="0.1"/>
    <n v="0"/>
    <n v="0.10400000000000001"/>
    <n v="10.4"/>
    <n v="20"/>
    <n v="8.8000000000000007"/>
    <n v="257"/>
    <n v="0.23798636243209326"/>
    <n v="0.22360173226397251"/>
    <n v="39.009900990099013"/>
  </r>
  <r>
    <x v="1"/>
    <x v="14"/>
    <x v="2"/>
    <n v="2.4300000000000002"/>
    <n v="2430"/>
    <n v="217.1"/>
    <n v="33.700000000000003"/>
    <n v="86.4"/>
    <n v="100.9"/>
    <x v="4"/>
    <x v="0"/>
    <n v="64"/>
    <n v="6592"/>
    <n v="0.59"/>
    <n v="59"/>
    <n v="40.299999999999997"/>
    <n v="0.12"/>
    <n v="0.16"/>
    <n v="0"/>
    <n v="0.113"/>
    <n v="11.3"/>
    <n v="23"/>
    <n v="15.4"/>
    <n v="94"/>
    <n v="0.23798636243209326"/>
    <n v="0.22360173226397251"/>
    <n v="72.106824925816014"/>
  </r>
  <r>
    <x v="2"/>
    <x v="14"/>
    <x v="2"/>
    <n v="3.01"/>
    <n v="3010"/>
    <n v="151.1"/>
    <n v="44.3"/>
    <n v="152.1"/>
    <n v="56.9"/>
    <x v="0"/>
    <x v="1"/>
    <n v="40"/>
    <n v="11520"/>
    <n v="0.77400000000000002"/>
    <n v="77.400000000000006"/>
    <n v="92.2"/>
    <n v="0.05"/>
    <n v="0.22"/>
    <n v="0"/>
    <n v="0.11800000000000001"/>
    <n v="11.8"/>
    <n v="26"/>
    <n v="10.199999999999999"/>
    <n v="366"/>
    <n v="0.23798636243209326"/>
    <n v="0.22360173226397251"/>
    <n v="67.945823927765247"/>
  </r>
  <r>
    <x v="3"/>
    <x v="14"/>
    <x v="2"/>
    <n v="3.73"/>
    <n v="3730"/>
    <n v="254.4"/>
    <n v="23.5"/>
    <n v="77.7"/>
    <n v="126.8"/>
    <x v="0"/>
    <x v="0"/>
    <n v="43"/>
    <n v="2795"/>
    <n v="0.7659999999999999"/>
    <n v="76.599999999999994"/>
    <n v="74.599999999999994"/>
    <n v="0.14000000000000001"/>
    <n v="0.28000000000000003"/>
    <n v="0"/>
    <n v="0.16200000000000001"/>
    <n v="16.2"/>
    <n v="29"/>
    <n v="14.6"/>
    <n v="68"/>
    <n v="0.23798636243209326"/>
    <n v="0.22360173226397251"/>
    <n v="158.72340425531914"/>
  </r>
  <r>
    <x v="4"/>
    <x v="14"/>
    <x v="2"/>
    <n v="4.62"/>
    <n v="4620"/>
    <n v="240.6"/>
    <n v="17.600000000000001"/>
    <n v="44.6"/>
    <n v="62.3"/>
    <x v="4"/>
    <x v="1"/>
    <n v="100"/>
    <n v="5900"/>
    <n v="0.82099999999999995"/>
    <n v="82.1"/>
    <n v="81.900000000000006"/>
    <n v="0.17"/>
    <n v="0.34"/>
    <n v="0"/>
    <n v="0.157"/>
    <n v="15.7"/>
    <n v="32"/>
    <n v="27"/>
    <n v="111"/>
    <n v="0.23798636243209326"/>
    <n v="0.22360173226397251"/>
    <n v="262.5"/>
  </r>
  <r>
    <x v="5"/>
    <x v="14"/>
    <x v="2"/>
    <n v="5.72"/>
    <n v="5720"/>
    <n v="384.5"/>
    <n v="58.4"/>
    <n v="140"/>
    <n v="49.1"/>
    <x v="4"/>
    <x v="1"/>
    <n v="19"/>
    <n v="2755"/>
    <n v="0.81299999999999994"/>
    <n v="81.3"/>
    <n v="79.7"/>
    <n v="0.14000000000000001"/>
    <n v="0.4"/>
    <n v="0"/>
    <n v="0.20300000000000001"/>
    <n v="20.3"/>
    <n v="35"/>
    <n v="3.3"/>
    <n v="135"/>
    <n v="0.23798636243209326"/>
    <n v="0.22360173226397251"/>
    <n v="97.945205479452056"/>
  </r>
  <r>
    <x v="6"/>
    <x v="14"/>
    <x v="2"/>
    <n v="7.08"/>
    <n v="7080"/>
    <n v="390.9"/>
    <n v="10.199999999999999"/>
    <n v="19.7"/>
    <n v="109.8"/>
    <x v="1"/>
    <x v="1"/>
    <n v="7"/>
    <n v="910"/>
    <n v="0.69599999999999995"/>
    <n v="69.599999999999994"/>
    <n v="66.2"/>
    <n v="0.17"/>
    <n v="0.46"/>
    <n v="0"/>
    <n v="0.19899999999999998"/>
    <n v="19.899999999999999"/>
    <n v="38"/>
    <n v="2.2999999999999998"/>
    <n v="346"/>
    <n v="0.23798636243209326"/>
    <n v="0.22360173226397251"/>
    <n v="694.11764705882354"/>
  </r>
  <r>
    <x v="7"/>
    <x v="14"/>
    <x v="2"/>
    <n v="8.77"/>
    <n v="8770"/>
    <n v="1128.0999999999999"/>
    <n v="44.6"/>
    <n v="101.2"/>
    <n v="33"/>
    <x v="4"/>
    <x v="0"/>
    <n v="39"/>
    <n v="10959"/>
    <n v="0.879"/>
    <n v="87.9"/>
    <n v="32.299999999999997"/>
    <n v="0.21"/>
    <n v="0.52"/>
    <n v="0"/>
    <n v="0.20899999999999999"/>
    <n v="20.9"/>
    <n v="41"/>
    <n v="13.6"/>
    <n v="225"/>
    <n v="0.23798636243209326"/>
    <n v="0.22360173226397251"/>
    <n v="196.63677130044843"/>
  </r>
  <r>
    <x v="8"/>
    <x v="14"/>
    <x v="2"/>
    <n v="10.86"/>
    <n v="10860"/>
    <n v="1136.4000000000001"/>
    <n v="58.1"/>
    <n v="93.1"/>
    <n v="90.6"/>
    <x v="0"/>
    <x v="0"/>
    <n v="31"/>
    <n v="3999"/>
    <n v="0.74900000000000011"/>
    <n v="74.900000000000006"/>
    <n v="54.7"/>
    <n v="0.38"/>
    <n v="0.57999999999999996"/>
    <n v="0"/>
    <n v="0.245"/>
    <n v="24.5"/>
    <n v="44"/>
    <n v="11.3"/>
    <n v="388"/>
    <n v="0.23798636243209326"/>
    <n v="0.22360173226397251"/>
    <n v="186.91910499139414"/>
  </r>
  <r>
    <x v="9"/>
    <x v="14"/>
    <x v="2"/>
    <n v="13.45"/>
    <n v="13450"/>
    <n v="1582.8"/>
    <n v="38.299999999999997"/>
    <n v="81.599999999999994"/>
    <n v="128"/>
    <x v="3"/>
    <x v="0"/>
    <n v="61"/>
    <n v="16958"/>
    <n v="0.875"/>
    <n v="87.5"/>
    <n v="93"/>
    <n v="0.43"/>
    <n v="0.64"/>
    <n v="0"/>
    <n v="0.255"/>
    <n v="25.5"/>
    <n v="47"/>
    <n v="10.199999999999999"/>
    <n v="219"/>
    <n v="0.23798636243209326"/>
    <n v="0.22360173226397251"/>
    <n v="351.17493472584857"/>
  </r>
  <r>
    <x v="10"/>
    <x v="14"/>
    <x v="2"/>
    <n v="16.649999999999999"/>
    <n v="16650"/>
    <n v="865.4"/>
    <n v="24.7"/>
    <n v="46.4"/>
    <n v="79.400000000000006"/>
    <x v="1"/>
    <x v="0"/>
    <n v="10"/>
    <n v="1460"/>
    <n v="0.77200000000000002"/>
    <n v="77.2"/>
    <n v="43.5"/>
    <n v="0.48"/>
    <n v="1"/>
    <n v="0.3"/>
    <n v="0.25800000000000001"/>
    <n v="25.8"/>
    <n v="50"/>
    <n v="2.6"/>
    <n v="42"/>
    <n v="0.23798636243209326"/>
    <n v="0.22360173226397251"/>
    <n v="674.089068825911"/>
  </r>
  <r>
    <x v="11"/>
    <x v="14"/>
    <x v="2"/>
    <n v="20.61"/>
    <n v="20610"/>
    <n v="1715.9"/>
    <n v="5.3"/>
    <n v="11.9"/>
    <n v="143.30000000000001"/>
    <x v="3"/>
    <x v="0"/>
    <n v="17"/>
    <n v="2261"/>
    <n v="0.77"/>
    <n v="77"/>
    <n v="99.3"/>
    <n v="0.67"/>
    <n v="1.07"/>
    <n v="0.31"/>
    <n v="0.27"/>
    <n v="27"/>
    <n v="53"/>
    <n v="5.4"/>
    <n v="289"/>
    <n v="0.23798636243209326"/>
    <n v="0.22360173226397251"/>
    <n v="3888.6792452830191"/>
  </r>
  <r>
    <x v="12"/>
    <x v="14"/>
    <x v="2"/>
    <n v="25.52"/>
    <n v="25520"/>
    <n v="3778.2"/>
    <n v="5.9"/>
    <n v="15"/>
    <n v="51.5"/>
    <x v="4"/>
    <x v="2"/>
    <n v="10"/>
    <n v="1070"/>
    <n v="0.58499999999999996"/>
    <n v="58.5"/>
    <n v="68.7"/>
    <n v="0.63"/>
    <n v="0.82"/>
    <n v="0"/>
    <n v="0.26700000000000002"/>
    <n v="26.7"/>
    <n v="56"/>
    <n v="1.8"/>
    <n v="442"/>
    <n v="0.23798636243209326"/>
    <n v="0.22360173226397251"/>
    <n v="4325.4237288135591"/>
  </r>
  <r>
    <x v="13"/>
    <x v="14"/>
    <x v="2"/>
    <n v="31.6"/>
    <n v="31600"/>
    <n v="2415.1"/>
    <n v="13.9"/>
    <n v="34.299999999999997"/>
    <n v="62.2"/>
    <x v="2"/>
    <x v="1"/>
    <n v="28"/>
    <n v="3444"/>
    <n v="0.76800000000000002"/>
    <n v="76.8"/>
    <n v="37.9"/>
    <n v="0.68"/>
    <n v="0.88"/>
    <n v="0"/>
    <n v="0.28300000000000003"/>
    <n v="28.3"/>
    <n v="59"/>
    <n v="9"/>
    <n v="239"/>
    <n v="0.23798636243209326"/>
    <n v="0.22360173226397251"/>
    <n v="2273.3812949640287"/>
  </r>
  <r>
    <x v="14"/>
    <x v="14"/>
    <x v="2"/>
    <n v="39.130000000000003"/>
    <n v="39130"/>
    <n v="4678.7"/>
    <n v="28.6"/>
    <n v="48.1"/>
    <n v="96.4"/>
    <x v="3"/>
    <x v="0"/>
    <n v="57"/>
    <n v="4731"/>
    <n v="0.70299999999999996"/>
    <n v="70.3"/>
    <n v="75.400000000000006"/>
    <n v="0.81"/>
    <n v="0.94"/>
    <n v="0"/>
    <n v="0.31900000000000001"/>
    <n v="31.9"/>
    <n v="62"/>
    <n v="18.600000000000001"/>
    <n v="335"/>
    <n v="0.23798636243209326"/>
    <n v="0.22360173226397251"/>
    <n v="1368.181818181818"/>
  </r>
  <r>
    <x v="15"/>
    <x v="14"/>
    <x v="2"/>
    <n v="48.44"/>
    <n v="48440"/>
    <n v="5317.6"/>
    <n v="52.2"/>
    <n v="177.3"/>
    <n v="42.7"/>
    <x v="3"/>
    <x v="2"/>
    <n v="14"/>
    <n v="1428"/>
    <n v="0.59099999999999997"/>
    <n v="59.1"/>
    <n v="69.099999999999994"/>
    <n v="0.84"/>
    <n v="1"/>
    <n v="0"/>
    <n v="0.33200000000000002"/>
    <n v="33.200000000000003"/>
    <n v="65"/>
    <n v="5.4"/>
    <n v="107"/>
    <n v="0.23798636243209326"/>
    <n v="0.22360173226397251"/>
    <n v="927.9693486590038"/>
  </r>
  <r>
    <x v="0"/>
    <x v="15"/>
    <x v="5"/>
    <n v="6.23"/>
    <n v="6230"/>
    <n v="894.8"/>
    <n v="33.4"/>
    <n v="113"/>
    <n v="56.5"/>
    <x v="4"/>
    <x v="0"/>
    <n v="77"/>
    <n v="22022"/>
    <n v="0.504"/>
    <n v="50.4"/>
    <n v="57.5"/>
    <n v="0.03"/>
    <n v="0.1"/>
    <n v="0"/>
    <n v="0.13100000000000001"/>
    <n v="13.1"/>
    <n v="20"/>
    <n v="23.4"/>
    <n v="428"/>
    <n v="6.009196571513753E-2"/>
    <n v="2.2334714455911175E-2"/>
    <n v="186.52694610778443"/>
  </r>
  <r>
    <x v="1"/>
    <x v="15"/>
    <x v="5"/>
    <n v="6.6"/>
    <n v="6600"/>
    <n v="869.9"/>
    <n v="31.7"/>
    <n v="75.400000000000006"/>
    <n v="149.6"/>
    <x v="4"/>
    <x v="0"/>
    <n v="96"/>
    <n v="6336"/>
    <n v="0.81499999999999995"/>
    <n v="81.5"/>
    <n v="40.299999999999997"/>
    <n v="0.12"/>
    <n v="0.16"/>
    <n v="0"/>
    <n v="0.12300000000000001"/>
    <n v="12.3"/>
    <n v="23"/>
    <n v="27.5"/>
    <n v="48"/>
    <n v="6.009196571513753E-2"/>
    <n v="2.2334714455911175E-2"/>
    <n v="208.20189274447949"/>
  </r>
  <r>
    <x v="2"/>
    <x v="15"/>
    <x v="5"/>
    <n v="7"/>
    <n v="7000"/>
    <n v="867.2"/>
    <n v="2.8"/>
    <n v="5.6"/>
    <n v="55.7"/>
    <x v="3"/>
    <x v="2"/>
    <n v="73"/>
    <n v="6716"/>
    <n v="0.69099999999999995"/>
    <n v="69.099999999999994"/>
    <n v="41.2"/>
    <n v="0.11"/>
    <n v="0.22"/>
    <n v="0"/>
    <n v="0.129"/>
    <n v="12.9"/>
    <n v="26"/>
    <n v="15.5"/>
    <n v="170"/>
    <n v="6.009196571513753E-2"/>
    <n v="2.2334714455911175E-2"/>
    <n v="2500"/>
  </r>
  <r>
    <x v="3"/>
    <x v="15"/>
    <x v="5"/>
    <n v="7.42"/>
    <n v="7420"/>
    <n v="1077.3"/>
    <n v="50.6"/>
    <n v="157.5"/>
    <n v="128.80000000000001"/>
    <x v="3"/>
    <x v="0"/>
    <n v="63"/>
    <n v="7056"/>
    <n v="0.73099999999999998"/>
    <n v="73.099999999999994"/>
    <n v="44"/>
    <n v="7.0000000000000007E-2"/>
    <n v="0.28000000000000003"/>
    <n v="0"/>
    <n v="0.155"/>
    <n v="15.5"/>
    <n v="29"/>
    <n v="18"/>
    <n v="100"/>
    <n v="6.009196571513753E-2"/>
    <n v="2.2334714455911175E-2"/>
    <n v="146.64031620553359"/>
  </r>
  <r>
    <x v="4"/>
    <x v="15"/>
    <x v="5"/>
    <n v="7.87"/>
    <n v="7870"/>
    <n v="685.4"/>
    <n v="55.4"/>
    <n v="147.9"/>
    <n v="94.6"/>
    <x v="0"/>
    <x v="2"/>
    <n v="117"/>
    <n v="27729"/>
    <n v="0.51600000000000001"/>
    <n v="51.6"/>
    <n v="84.1"/>
    <n v="0.06"/>
    <n v="0.34"/>
    <n v="0"/>
    <n v="0.16699999999999998"/>
    <n v="16.7"/>
    <n v="32"/>
    <n v="28.3"/>
    <n v="267"/>
    <n v="6.009196571513753E-2"/>
    <n v="2.2334714455911175E-2"/>
    <n v="142.05776173285199"/>
  </r>
  <r>
    <x v="5"/>
    <x v="15"/>
    <x v="5"/>
    <n v="8.34"/>
    <n v="8340"/>
    <n v="1005.4"/>
    <n v="26.8"/>
    <n v="63.9"/>
    <n v="107.9"/>
    <x v="2"/>
    <x v="1"/>
    <n v="41"/>
    <n v="5248"/>
    <n v="0.63200000000000001"/>
    <n v="63.2"/>
    <n v="58.3"/>
    <n v="0.03"/>
    <n v="0.4"/>
    <n v="0"/>
    <n v="0.19699999999999998"/>
    <n v="19.7"/>
    <n v="35"/>
    <n v="6.8"/>
    <n v="194"/>
    <n v="6.009196571513753E-2"/>
    <n v="2.2334714455911175E-2"/>
    <n v="311.19402985074623"/>
  </r>
  <r>
    <x v="6"/>
    <x v="15"/>
    <x v="5"/>
    <n v="8.84"/>
    <n v="8840"/>
    <n v="802.5"/>
    <n v="29.2"/>
    <n v="45.5"/>
    <n v="55.2"/>
    <x v="2"/>
    <x v="2"/>
    <n v="5"/>
    <n v="520"/>
    <n v="0.61699999999999999"/>
    <n v="61.7"/>
    <n v="37"/>
    <n v="0.2"/>
    <n v="0.46"/>
    <n v="0"/>
    <n v="0.17399999999999999"/>
    <n v="17.399999999999999"/>
    <n v="38"/>
    <n v="1.6"/>
    <n v="422"/>
    <n v="6.009196571513753E-2"/>
    <n v="2.2334714455911175E-2"/>
    <n v="302.73972602739724"/>
  </r>
  <r>
    <x v="7"/>
    <x v="15"/>
    <x v="5"/>
    <n v="9.3699999999999992"/>
    <n v="9370"/>
    <n v="1231.8"/>
    <n v="41.7"/>
    <n v="71.8"/>
    <n v="64.7"/>
    <x v="2"/>
    <x v="1"/>
    <n v="72"/>
    <n v="13608"/>
    <n v="0.61499999999999999"/>
    <n v="61.5"/>
    <n v="80.7"/>
    <n v="0.3"/>
    <n v="0.52"/>
    <n v="0"/>
    <n v="0.223"/>
    <n v="22.3"/>
    <n v="41"/>
    <n v="15.3"/>
    <n v="387"/>
    <n v="6.009196571513753E-2"/>
    <n v="2.2334714455911175E-2"/>
    <n v="224.70023980815347"/>
  </r>
  <r>
    <x v="8"/>
    <x v="15"/>
    <x v="5"/>
    <n v="9.94"/>
    <n v="9940"/>
    <n v="802.7"/>
    <n v="55"/>
    <n v="187.3"/>
    <n v="69.2"/>
    <x v="4"/>
    <x v="2"/>
    <n v="110"/>
    <n v="24860"/>
    <n v="0.54600000000000004"/>
    <n v="54.6"/>
    <n v="54.5"/>
    <n v="0.36"/>
    <n v="0.57999999999999996"/>
    <n v="0"/>
    <n v="0.24399999999999999"/>
    <n v="24.4"/>
    <n v="44"/>
    <n v="30.4"/>
    <n v="118"/>
    <n v="6.009196571513753E-2"/>
    <n v="2.2334714455911175E-2"/>
    <n v="180.72727272727272"/>
  </r>
  <r>
    <x v="9"/>
    <x v="15"/>
    <x v="5"/>
    <n v="10.53"/>
    <n v="10530"/>
    <n v="1431.4"/>
    <n v="41.3"/>
    <n v="131"/>
    <n v="133.1"/>
    <x v="4"/>
    <x v="2"/>
    <n v="71"/>
    <n v="14697"/>
    <n v="0.70700000000000007"/>
    <n v="70.7"/>
    <n v="55.8"/>
    <n v="0.35"/>
    <n v="0.64"/>
    <n v="0"/>
    <n v="0.25"/>
    <n v="25"/>
    <n v="47"/>
    <n v="18.399999999999999"/>
    <n v="169"/>
    <n v="6.009196571513753E-2"/>
    <n v="2.2334714455911175E-2"/>
    <n v="254.96368038740923"/>
  </r>
  <r>
    <x v="10"/>
    <x v="15"/>
    <x v="5"/>
    <n v="11.17"/>
    <n v="11170"/>
    <n v="742.9"/>
    <n v="2.1"/>
    <n v="6.2"/>
    <n v="117.9"/>
    <x v="4"/>
    <x v="0"/>
    <n v="22"/>
    <n v="3146"/>
    <n v="0.50900000000000001"/>
    <n v="50.9"/>
    <n v="37.4"/>
    <n v="0.48"/>
    <n v="1.18"/>
    <n v="0.48"/>
    <n v="0.26100000000000001"/>
    <n v="26.1"/>
    <n v="50"/>
    <n v="4.2"/>
    <n v="435"/>
    <n v="6.009196571513753E-2"/>
    <n v="2.2334714455911175E-2"/>
    <n v="5319.0476190476193"/>
  </r>
  <r>
    <x v="11"/>
    <x v="15"/>
    <x v="5"/>
    <n v="11.84"/>
    <n v="11840"/>
    <n v="1281"/>
    <n v="8.9"/>
    <n v="17.100000000000001"/>
    <n v="67.3"/>
    <x v="3"/>
    <x v="0"/>
    <n v="43"/>
    <n v="12728"/>
    <n v="0.59899999999999998"/>
    <n v="59.9"/>
    <n v="97"/>
    <n v="0.6"/>
    <n v="1.31"/>
    <n v="0.55000000000000004"/>
    <n v="0.26600000000000001"/>
    <n v="26.6"/>
    <n v="53"/>
    <n v="9.1"/>
    <n v="81"/>
    <n v="6.009196571513753E-2"/>
    <n v="2.2334714455911175E-2"/>
    <n v="1330.3370786516853"/>
  </r>
  <r>
    <x v="12"/>
    <x v="15"/>
    <x v="5"/>
    <n v="12.55"/>
    <n v="12550"/>
    <n v="1573.5"/>
    <n v="52.5"/>
    <n v="150.19999999999999"/>
    <n v="79.400000000000006"/>
    <x v="2"/>
    <x v="1"/>
    <n v="110"/>
    <n v="26620"/>
    <n v="0.746"/>
    <n v="74.599999999999994"/>
    <n v="68.2"/>
    <n v="0.66"/>
    <n v="0.82"/>
    <n v="0"/>
    <n v="0.30399999999999999"/>
    <n v="30.4"/>
    <n v="56"/>
    <n v="22.1"/>
    <n v="102"/>
    <n v="6.009196571513753E-2"/>
    <n v="2.2334714455911175E-2"/>
    <n v="239.04761904761904"/>
  </r>
  <r>
    <x v="13"/>
    <x v="15"/>
    <x v="5"/>
    <n v="13.3"/>
    <n v="13300"/>
    <n v="1470.9"/>
    <n v="8.8000000000000007"/>
    <n v="19.100000000000001"/>
    <n v="47.1"/>
    <x v="0"/>
    <x v="0"/>
    <n v="30"/>
    <n v="1980"/>
    <n v="0.90300000000000002"/>
    <n v="90.3"/>
    <n v="40.299999999999997"/>
    <n v="0.69"/>
    <n v="0.88"/>
    <n v="0"/>
    <n v="0.318"/>
    <n v="31.8"/>
    <n v="59"/>
    <n v="6"/>
    <n v="314"/>
    <n v="6.009196571513753E-2"/>
    <n v="2.2334714455911175E-2"/>
    <n v="1511.3636363636363"/>
  </r>
  <r>
    <x v="14"/>
    <x v="15"/>
    <x v="5"/>
    <n v="14.1"/>
    <n v="14100"/>
    <n v="1654.6"/>
    <n v="25.7"/>
    <n v="84"/>
    <n v="56.6"/>
    <x v="1"/>
    <x v="2"/>
    <n v="30"/>
    <n v="5190"/>
    <n v="0.74099999999999999"/>
    <n v="74.099999999999994"/>
    <n v="87.7"/>
    <n v="0.87"/>
    <n v="0.94"/>
    <n v="0"/>
    <n v="0.34"/>
    <n v="34"/>
    <n v="62"/>
    <n v="11.1"/>
    <n v="95"/>
    <n v="6.009196571513753E-2"/>
    <n v="2.2334714455911175E-2"/>
    <n v="548.63813229571986"/>
  </r>
  <r>
    <x v="15"/>
    <x v="15"/>
    <x v="5"/>
    <n v="14.95"/>
    <n v="14950"/>
    <n v="1246.3"/>
    <n v="47.9"/>
    <n v="115.1"/>
    <n v="52"/>
    <x v="3"/>
    <x v="1"/>
    <n v="70"/>
    <n v="15260"/>
    <n v="0.53400000000000003"/>
    <n v="53.4"/>
    <n v="54.1"/>
    <n v="0.9"/>
    <n v="1"/>
    <n v="0"/>
    <n v="0.374"/>
    <n v="37.4"/>
    <n v="65"/>
    <n v="25.9"/>
    <n v="241"/>
    <n v="6.009196571513753E-2"/>
    <n v="2.2334714455911175E-2"/>
    <n v="312.10855949895614"/>
  </r>
  <r>
    <x v="0"/>
    <x v="16"/>
    <x v="0"/>
    <n v="1.22"/>
    <n v="1220"/>
    <n v="151.30000000000001"/>
    <n v="51.2"/>
    <n v="132.6"/>
    <n v="147.80000000000001"/>
    <x v="1"/>
    <x v="2"/>
    <n v="86"/>
    <n v="9890"/>
    <n v="0.752"/>
    <n v="75.2"/>
    <n v="49.1"/>
    <n v="0.03"/>
    <n v="0.1"/>
    <n v="0"/>
    <n v="9.8000000000000004E-2"/>
    <n v="9.8000000000000007"/>
    <n v="20"/>
    <n v="23.9"/>
    <n v="348"/>
    <n v="0.10600651880436751"/>
    <n v="0.10300308285239956"/>
    <n v="23.828125"/>
  </r>
  <r>
    <x v="1"/>
    <x v="16"/>
    <x v="0"/>
    <n v="1.35"/>
    <n v="1350"/>
    <n v="149.19999999999999"/>
    <n v="43"/>
    <n v="96.7"/>
    <n v="74.3"/>
    <x v="3"/>
    <x v="0"/>
    <n v="79"/>
    <n v="13509"/>
    <n v="0.59799999999999998"/>
    <n v="59.8"/>
    <n v="74.599999999999994"/>
    <n v="0.11"/>
    <n v="0.16"/>
    <n v="0"/>
    <n v="0.111"/>
    <n v="11.1"/>
    <n v="23"/>
    <n v="18.8"/>
    <n v="58"/>
    <n v="0.10600651880436751"/>
    <n v="0.10300308285239956"/>
    <n v="31.395348837209301"/>
  </r>
  <r>
    <x v="2"/>
    <x v="16"/>
    <x v="0"/>
    <n v="1.49"/>
    <n v="1490"/>
    <n v="88.7"/>
    <n v="8"/>
    <n v="12.8"/>
    <n v="99.7"/>
    <x v="0"/>
    <x v="0"/>
    <n v="77"/>
    <n v="23023"/>
    <n v="0.86099999999999999"/>
    <n v="86.1"/>
    <n v="63.9"/>
    <n v="0.17"/>
    <n v="0.22"/>
    <n v="0"/>
    <n v="0.106"/>
    <n v="10.6"/>
    <n v="26"/>
    <n v="22.1"/>
    <n v="218"/>
    <n v="0.10600651880436751"/>
    <n v="0.10300308285239956"/>
    <n v="186.25"/>
  </r>
  <r>
    <x v="3"/>
    <x v="16"/>
    <x v="0"/>
    <n v="1.65"/>
    <n v="1650"/>
    <n v="191.5"/>
    <n v="22.1"/>
    <n v="50.5"/>
    <n v="49"/>
    <x v="0"/>
    <x v="0"/>
    <n v="20"/>
    <n v="5280"/>
    <n v="0.9"/>
    <n v="90"/>
    <n v="68.400000000000006"/>
    <n v="0.06"/>
    <n v="0.28000000000000003"/>
    <n v="0"/>
    <n v="0.18"/>
    <n v="18"/>
    <n v="29"/>
    <n v="6"/>
    <n v="479"/>
    <n v="0.10600651880436751"/>
    <n v="0.10300308285239956"/>
    <n v="74.660633484162886"/>
  </r>
  <r>
    <x v="4"/>
    <x v="16"/>
    <x v="0"/>
    <n v="1.82"/>
    <n v="1820"/>
    <n v="166.7"/>
    <n v="43.3"/>
    <n v="98.5"/>
    <n v="100.6"/>
    <x v="2"/>
    <x v="0"/>
    <n v="61"/>
    <n v="5429"/>
    <n v="0.8909999999999999"/>
    <n v="89.1"/>
    <n v="79.3"/>
    <n v="0.06"/>
    <n v="0.34"/>
    <n v="0"/>
    <n v="0.188"/>
    <n v="18.8"/>
    <n v="32"/>
    <n v="18.3"/>
    <n v="404"/>
    <n v="0.10600651880436751"/>
    <n v="0.10300308285239956"/>
    <n v="42.032332563510394"/>
  </r>
  <r>
    <x v="5"/>
    <x v="16"/>
    <x v="0"/>
    <n v="2.02"/>
    <n v="2020"/>
    <n v="266.5"/>
    <n v="40.299999999999997"/>
    <n v="124.5"/>
    <n v="62.6"/>
    <x v="3"/>
    <x v="0"/>
    <n v="42"/>
    <n v="12516"/>
    <n v="0.60099999999999998"/>
    <n v="60.1"/>
    <n v="64.7"/>
    <n v="0.05"/>
    <n v="0.4"/>
    <n v="0"/>
    <n v="0.214"/>
    <n v="21.4"/>
    <n v="35"/>
    <n v="9.1"/>
    <n v="489"/>
    <n v="0.10600651880436751"/>
    <n v="0.10300308285239956"/>
    <n v="50.12406947890819"/>
  </r>
  <r>
    <x v="6"/>
    <x v="16"/>
    <x v="0"/>
    <n v="2.23"/>
    <n v="2230"/>
    <n v="160.30000000000001"/>
    <n v="36.5"/>
    <n v="74.099999999999994"/>
    <n v="109.4"/>
    <x v="1"/>
    <x v="0"/>
    <n v="83"/>
    <n v="21248"/>
    <n v="0.81499999999999995"/>
    <n v="81.5"/>
    <n v="52.6"/>
    <n v="0.21"/>
    <n v="0.46"/>
    <n v="0"/>
    <n v="0.18100000000000002"/>
    <n v="18.100000000000001"/>
    <n v="38"/>
    <n v="28.6"/>
    <n v="37"/>
    <n v="0.10600651880436751"/>
    <n v="0.10300308285239956"/>
    <n v="61.095890410958901"/>
  </r>
  <r>
    <x v="7"/>
    <x v="16"/>
    <x v="0"/>
    <n v="2.4700000000000002"/>
    <n v="2470"/>
    <n v="188.5"/>
    <n v="26.1"/>
    <n v="85.5"/>
    <n v="128.9"/>
    <x v="4"/>
    <x v="0"/>
    <n v="64"/>
    <n v="10816"/>
    <n v="0.9"/>
    <n v="90"/>
    <n v="49.4"/>
    <n v="0.25"/>
    <n v="0.52"/>
    <n v="0"/>
    <n v="0.187"/>
    <n v="18.7"/>
    <n v="41"/>
    <n v="23.3"/>
    <n v="422"/>
    <n v="0.10600651880436751"/>
    <n v="0.10300308285239956"/>
    <n v="94.636015325670499"/>
  </r>
  <r>
    <x v="8"/>
    <x v="16"/>
    <x v="0"/>
    <n v="2.73"/>
    <n v="2730"/>
    <n v="162.19999999999999"/>
    <n v="45.4"/>
    <n v="141.80000000000001"/>
    <n v="114.8"/>
    <x v="1"/>
    <x v="1"/>
    <n v="42"/>
    <n v="9450"/>
    <n v="0.92"/>
    <n v="92"/>
    <n v="85.1"/>
    <n v="0.43"/>
    <n v="0.57999999999999996"/>
    <n v="0"/>
    <n v="0.21899999999999997"/>
    <n v="21.9"/>
    <n v="44"/>
    <n v="15"/>
    <n v="70"/>
    <n v="0.10600651880436751"/>
    <n v="0.10300308285239956"/>
    <n v="60.132158590308372"/>
  </r>
  <r>
    <x v="9"/>
    <x v="16"/>
    <x v="0"/>
    <n v="3.02"/>
    <n v="3020"/>
    <n v="157.69999999999999"/>
    <n v="22.9"/>
    <n v="70.3"/>
    <n v="97.9"/>
    <x v="2"/>
    <x v="2"/>
    <n v="52"/>
    <n v="15288"/>
    <n v="0.84299999999999997"/>
    <n v="84.3"/>
    <n v="27.9"/>
    <n v="0.37"/>
    <n v="0.64"/>
    <n v="0"/>
    <n v="0.245"/>
    <n v="24.5"/>
    <n v="47"/>
    <n v="10.8"/>
    <n v="216"/>
    <n v="0.10600651880436751"/>
    <n v="0.10300308285239956"/>
    <n v="131.87772925764193"/>
  </r>
  <r>
    <x v="10"/>
    <x v="16"/>
    <x v="0"/>
    <n v="3.34"/>
    <n v="3340"/>
    <n v="297.3"/>
    <n v="6"/>
    <n v="16.7"/>
    <n v="118"/>
    <x v="4"/>
    <x v="1"/>
    <n v="70"/>
    <n v="8610"/>
    <n v="0.8909999999999999"/>
    <n v="89.1"/>
    <n v="53.4"/>
    <n v="0.41"/>
    <n v="1.1000000000000001"/>
    <n v="0.4"/>
    <n v="0.23600000000000002"/>
    <n v="23.6"/>
    <n v="50"/>
    <n v="12.9"/>
    <n v="491"/>
    <n v="0.10600651880436751"/>
    <n v="0.10300308285239956"/>
    <n v="556.66666666666663"/>
  </r>
  <r>
    <x v="11"/>
    <x v="16"/>
    <x v="0"/>
    <n v="3.69"/>
    <n v="3690"/>
    <n v="552.4"/>
    <n v="58.9"/>
    <n v="164.9"/>
    <n v="126.5"/>
    <x v="3"/>
    <x v="1"/>
    <n v="88"/>
    <n v="18920"/>
    <n v="0.875"/>
    <n v="87.5"/>
    <n v="52.2"/>
    <n v="0.51"/>
    <n v="1.1000000000000001"/>
    <n v="0.34"/>
    <n v="0.28600000000000003"/>
    <n v="28.6"/>
    <n v="53"/>
    <n v="26.2"/>
    <n v="191"/>
    <n v="0.10600651880436751"/>
    <n v="0.10300308285239956"/>
    <n v="62.648556876061122"/>
  </r>
  <r>
    <x v="12"/>
    <x v="16"/>
    <x v="0"/>
    <n v="4.09"/>
    <n v="4090"/>
    <n v="272.60000000000002"/>
    <n v="31"/>
    <n v="89.4"/>
    <n v="113.7"/>
    <x v="3"/>
    <x v="2"/>
    <n v="109"/>
    <n v="25179"/>
    <n v="0.78599999999999992"/>
    <n v="78.599999999999994"/>
    <n v="69.900000000000006"/>
    <n v="0.69"/>
    <n v="0.82"/>
    <n v="0"/>
    <n v="0.29699999999999999"/>
    <n v="29.7"/>
    <n v="56"/>
    <n v="23.9"/>
    <n v="152"/>
    <n v="0.10600651880436751"/>
    <n v="0.10300308285239956"/>
    <n v="131.93548387096774"/>
  </r>
  <r>
    <x v="13"/>
    <x v="16"/>
    <x v="0"/>
    <n v="4.5199999999999996"/>
    <n v="4520"/>
    <n v="654.70000000000005"/>
    <n v="5.5"/>
    <n v="15.8"/>
    <n v="33"/>
    <x v="1"/>
    <x v="0"/>
    <n v="63"/>
    <n v="5796"/>
    <n v="0.91"/>
    <n v="91"/>
    <n v="72.900000000000006"/>
    <n v="0.67"/>
    <n v="0.88"/>
    <n v="0"/>
    <n v="0.36099999999999999"/>
    <n v="36.1"/>
    <n v="59"/>
    <n v="16.600000000000001"/>
    <n v="99"/>
    <n v="0.10600651880436751"/>
    <n v="0.10300308285239956"/>
    <n v="821.81818181818187"/>
  </r>
  <r>
    <x v="14"/>
    <x v="16"/>
    <x v="0"/>
    <n v="5"/>
    <n v="5000"/>
    <n v="536.20000000000005"/>
    <n v="18.100000000000001"/>
    <n v="60.4"/>
    <n v="100"/>
    <x v="1"/>
    <x v="2"/>
    <n v="76"/>
    <n v="11932"/>
    <n v="0.69099999999999995"/>
    <n v="69.099999999999994"/>
    <n v="31.3"/>
    <n v="0.76"/>
    <n v="0.94"/>
    <n v="0"/>
    <n v="0.32700000000000001"/>
    <n v="32.700000000000003"/>
    <n v="62"/>
    <n v="18.100000000000001"/>
    <n v="137"/>
    <n v="0.10600651880436751"/>
    <n v="0.10300308285239956"/>
    <n v="276.24309392265189"/>
  </r>
  <r>
    <x v="15"/>
    <x v="16"/>
    <x v="0"/>
    <n v="5.53"/>
    <n v="5530"/>
    <n v="658.4"/>
    <n v="36.6"/>
    <n v="91.6"/>
    <n v="147.1"/>
    <x v="4"/>
    <x v="1"/>
    <n v="60"/>
    <n v="13500"/>
    <n v="0.59"/>
    <n v="59"/>
    <n v="41.2"/>
    <n v="0.83"/>
    <n v="1"/>
    <n v="0"/>
    <n v="0.36299999999999999"/>
    <n v="36.299999999999997"/>
    <n v="65"/>
    <n v="14.6"/>
    <n v="474"/>
    <n v="0.10600651880436751"/>
    <n v="0.10300308285239956"/>
    <n v="151.09289617486337"/>
  </r>
  <r>
    <x v="0"/>
    <x v="17"/>
    <x v="2"/>
    <n v="9.7200000000000006"/>
    <n v="9720"/>
    <n v="546.5"/>
    <n v="21.4"/>
    <n v="35"/>
    <n v="147"/>
    <x v="0"/>
    <x v="1"/>
    <n v="53"/>
    <n v="3498"/>
    <n v="0.748"/>
    <n v="74.8"/>
    <n v="84.2"/>
    <n v="0.16"/>
    <n v="0.1"/>
    <n v="0"/>
    <n v="9.8000000000000004E-2"/>
    <n v="9.8000000000000007"/>
    <n v="20"/>
    <n v="19.2"/>
    <n v="80"/>
    <n v="0.24464845522603795"/>
    <n v="0.30572094147558548"/>
    <n v="454.20560747663552"/>
  </r>
  <r>
    <x v="1"/>
    <x v="17"/>
    <x v="2"/>
    <n v="12.09"/>
    <n v="12090"/>
    <n v="1172.0999999999999"/>
    <n v="17.600000000000001"/>
    <n v="29.9"/>
    <n v="50.1"/>
    <x v="4"/>
    <x v="1"/>
    <n v="105"/>
    <n v="13965"/>
    <n v="0.8590000000000001"/>
    <n v="85.9"/>
    <n v="49.5"/>
    <n v="7.0000000000000007E-2"/>
    <n v="0.16"/>
    <n v="0"/>
    <n v="0.10300000000000001"/>
    <n v="10.3"/>
    <n v="23"/>
    <n v="41.3"/>
    <n v="401"/>
    <n v="0.24464845522603795"/>
    <n v="0.30572094147558548"/>
    <n v="686.93181818181813"/>
  </r>
  <r>
    <x v="2"/>
    <x v="17"/>
    <x v="2"/>
    <n v="15.05"/>
    <n v="15050"/>
    <n v="1285.0999999999999"/>
    <n v="19.5"/>
    <n v="67.400000000000006"/>
    <n v="50.4"/>
    <x v="2"/>
    <x v="1"/>
    <n v="8"/>
    <n v="2176"/>
    <n v="0.63600000000000001"/>
    <n v="63.6"/>
    <n v="67.3"/>
    <n v="0.08"/>
    <n v="0.22"/>
    <n v="0"/>
    <n v="0.155"/>
    <n v="15.5"/>
    <n v="26"/>
    <n v="2.8"/>
    <n v="105"/>
    <n v="0.24464845522603795"/>
    <n v="0.30572094147558548"/>
    <n v="771.79487179487182"/>
  </r>
  <r>
    <x v="3"/>
    <x v="17"/>
    <x v="2"/>
    <n v="18.739999999999998"/>
    <n v="18740"/>
    <n v="2399.3000000000002"/>
    <n v="19.600000000000001"/>
    <n v="41.6"/>
    <n v="30.4"/>
    <x v="4"/>
    <x v="1"/>
    <n v="64"/>
    <n v="15296"/>
    <n v="0.94299999999999995"/>
    <n v="94.3"/>
    <n v="54.7"/>
    <n v="0.1"/>
    <n v="0.28000000000000003"/>
    <n v="0"/>
    <n v="0.126"/>
    <n v="12.6"/>
    <n v="29"/>
    <n v="23.6"/>
    <n v="448"/>
    <n v="0.24464845522603795"/>
    <n v="0.30572094147558548"/>
    <n v="956.12244897959181"/>
  </r>
  <r>
    <x v="4"/>
    <x v="17"/>
    <x v="2"/>
    <n v="23.32"/>
    <n v="23320"/>
    <n v="2235.1999999999998"/>
    <n v="44.1"/>
    <n v="116.7"/>
    <n v="110.1"/>
    <x v="0"/>
    <x v="2"/>
    <n v="44"/>
    <n v="8536"/>
    <n v="0.84400000000000008"/>
    <n v="84.4"/>
    <n v="95.5"/>
    <n v="0.09"/>
    <n v="0.34"/>
    <n v="0"/>
    <n v="0.154"/>
    <n v="15.4"/>
    <n v="32"/>
    <n v="16.100000000000001"/>
    <n v="227"/>
    <n v="0.24464845522603795"/>
    <n v="0.30572094147558548"/>
    <n v="528.79818594104302"/>
  </r>
  <r>
    <x v="5"/>
    <x v="17"/>
    <x v="2"/>
    <n v="29.03"/>
    <n v="29030"/>
    <n v="3604.2"/>
    <n v="30.6"/>
    <n v="75.400000000000006"/>
    <n v="130.6"/>
    <x v="2"/>
    <x v="1"/>
    <n v="75"/>
    <n v="22350"/>
    <n v="0.81400000000000006"/>
    <n v="81.400000000000006"/>
    <n v="56.2"/>
    <n v="0.1"/>
    <n v="0.4"/>
    <n v="0"/>
    <n v="0.155"/>
    <n v="15.5"/>
    <n v="35"/>
    <n v="27.4"/>
    <n v="233"/>
    <n v="0.24464845522603795"/>
    <n v="0.30572094147558548"/>
    <n v="948.69281045751632"/>
  </r>
  <r>
    <x v="6"/>
    <x v="17"/>
    <x v="2"/>
    <n v="36.130000000000003"/>
    <n v="36130"/>
    <n v="5244"/>
    <n v="12.2"/>
    <n v="32.1"/>
    <n v="99.5"/>
    <x v="1"/>
    <x v="1"/>
    <n v="94"/>
    <n v="5922"/>
    <n v="0.92"/>
    <n v="92"/>
    <n v="80.599999999999994"/>
    <n v="0.17"/>
    <n v="0.46"/>
    <n v="0"/>
    <n v="0.19399999999999998"/>
    <n v="19.399999999999999"/>
    <n v="38"/>
    <n v="29.3"/>
    <n v="196"/>
    <n v="0.24464845522603795"/>
    <n v="0.30572094147558548"/>
    <n v="2961.4754098360659"/>
  </r>
  <r>
    <x v="7"/>
    <x v="17"/>
    <x v="2"/>
    <n v="44.97"/>
    <n v="44970"/>
    <n v="3081.6"/>
    <n v="18.2"/>
    <n v="35.200000000000003"/>
    <n v="51.9"/>
    <x v="0"/>
    <x v="0"/>
    <n v="102"/>
    <n v="26214"/>
    <n v="0.93599999999999994"/>
    <n v="93.6"/>
    <n v="67.8"/>
    <n v="0.27"/>
    <n v="0.52"/>
    <n v="0"/>
    <n v="0.19500000000000001"/>
    <n v="19.5"/>
    <n v="41"/>
    <n v="22.6"/>
    <n v="194"/>
    <n v="0.24464845522603795"/>
    <n v="0.30572094147558548"/>
    <n v="2470.8791208791208"/>
  </r>
  <r>
    <x v="8"/>
    <x v="17"/>
    <x v="2"/>
    <n v="55.97"/>
    <n v="55970"/>
    <n v="8053.9"/>
    <n v="53.9"/>
    <n v="117.1"/>
    <n v="117.5"/>
    <x v="4"/>
    <x v="1"/>
    <n v="97"/>
    <n v="11446"/>
    <n v="0.59899999999999998"/>
    <n v="59.9"/>
    <n v="41.4"/>
    <n v="0.31"/>
    <n v="0.57999999999999996"/>
    <n v="0"/>
    <n v="0.249"/>
    <n v="24.9"/>
    <n v="44"/>
    <n v="18.8"/>
    <n v="259"/>
    <n v="0.24464845522603795"/>
    <n v="0.30572094147558548"/>
    <n v="1038.4044526901671"/>
  </r>
  <r>
    <x v="9"/>
    <x v="17"/>
    <x v="2"/>
    <n v="69.67"/>
    <n v="69670"/>
    <n v="8720.2000000000007"/>
    <n v="38.200000000000003"/>
    <n v="103.1"/>
    <n v="36.4"/>
    <x v="4"/>
    <x v="2"/>
    <n v="81"/>
    <n v="10530"/>
    <n v="0.65799999999999992"/>
    <n v="65.8"/>
    <n v="32"/>
    <n v="0.55000000000000004"/>
    <n v="0.64"/>
    <n v="0"/>
    <n v="0.26200000000000001"/>
    <n v="26.2"/>
    <n v="47"/>
    <n v="15.2"/>
    <n v="67"/>
    <n v="0.24464845522603795"/>
    <n v="0.30572094147558548"/>
    <n v="1823.8219895287957"/>
  </r>
  <r>
    <x v="10"/>
    <x v="17"/>
    <x v="2"/>
    <n v="86.71"/>
    <n v="86710"/>
    <n v="11149.8"/>
    <n v="36.200000000000003"/>
    <n v="54.8"/>
    <n v="122.7"/>
    <x v="2"/>
    <x v="1"/>
    <n v="65"/>
    <n v="4225"/>
    <n v="0.76900000000000002"/>
    <n v="76.900000000000006"/>
    <n v="100"/>
    <n v="0.54"/>
    <n v="0.99"/>
    <n v="0.28999999999999998"/>
    <n v="0.27"/>
    <n v="27"/>
    <n v="50"/>
    <n v="19.7"/>
    <n v="105"/>
    <n v="0.24464845522603795"/>
    <n v="0.30572094147558548"/>
    <n v="2395.3038674033146"/>
  </r>
  <r>
    <x v="11"/>
    <x v="17"/>
    <x v="2"/>
    <n v="107.93"/>
    <n v="107930"/>
    <n v="12675.4"/>
    <n v="46.2"/>
    <n v="73.599999999999994"/>
    <n v="107.6"/>
    <x v="1"/>
    <x v="0"/>
    <n v="87"/>
    <n v="14355"/>
    <n v="0.84799999999999998"/>
    <n v="84.8"/>
    <n v="34.299999999999997"/>
    <n v="0.56999999999999995"/>
    <n v="1.1100000000000001"/>
    <n v="0.35"/>
    <n v="0.32"/>
    <n v="32"/>
    <n v="53"/>
    <n v="27.6"/>
    <n v="393"/>
    <n v="0.24464845522603795"/>
    <n v="0.30572094147558548"/>
    <n v="2336.1471861471859"/>
  </r>
  <r>
    <x v="12"/>
    <x v="17"/>
    <x v="2"/>
    <n v="134.34"/>
    <n v="134340"/>
    <n v="12603.4"/>
    <n v="50.7"/>
    <n v="92.3"/>
    <n v="33"/>
    <x v="1"/>
    <x v="2"/>
    <n v="102"/>
    <n v="26214"/>
    <n v="0.84799999999999998"/>
    <n v="84.8"/>
    <n v="93.6"/>
    <n v="0.66"/>
    <n v="0.82"/>
    <n v="0"/>
    <n v="0.28999999999999998"/>
    <n v="29"/>
    <n v="56"/>
    <n v="21.4"/>
    <n v="401"/>
    <n v="0.24464845522603795"/>
    <n v="0.30572094147558548"/>
    <n v="2649.7041420118344"/>
  </r>
  <r>
    <x v="13"/>
    <x v="17"/>
    <x v="2"/>
    <n v="167.21"/>
    <n v="167210"/>
    <n v="14710.2"/>
    <n v="48.5"/>
    <n v="110.7"/>
    <n v="120.1"/>
    <x v="2"/>
    <x v="2"/>
    <n v="47"/>
    <n v="6768"/>
    <n v="0.88500000000000001"/>
    <n v="88.5"/>
    <n v="87.6"/>
    <n v="0.7"/>
    <n v="0.88"/>
    <n v="0"/>
    <n v="0.30599999999999999"/>
    <n v="30.6"/>
    <n v="59"/>
    <n v="16.100000000000001"/>
    <n v="65"/>
    <n v="0.24464845522603795"/>
    <n v="0.30572094147558548"/>
    <n v="3447.6288659793813"/>
  </r>
  <r>
    <x v="14"/>
    <x v="17"/>
    <x v="2"/>
    <n v="208.12"/>
    <n v="208120"/>
    <n v="10804.7"/>
    <n v="50"/>
    <n v="127.4"/>
    <n v="123"/>
    <x v="4"/>
    <x v="2"/>
    <n v="103"/>
    <n v="16892"/>
    <n v="0.93299999999999994"/>
    <n v="93.3"/>
    <n v="75.099999999999994"/>
    <n v="0.79"/>
    <n v="0.94"/>
    <n v="0"/>
    <n v="0.33"/>
    <n v="33"/>
    <n v="62"/>
    <n v="24.3"/>
    <n v="348"/>
    <n v="0.24464845522603795"/>
    <n v="0.30572094147558548"/>
    <n v="4162.3999999999996"/>
  </r>
  <r>
    <x v="15"/>
    <x v="17"/>
    <x v="2"/>
    <n v="259.04000000000002"/>
    <n v="259040.00000000003"/>
    <n v="29877.599999999999"/>
    <n v="13.2"/>
    <n v="27.5"/>
    <n v="104.4"/>
    <x v="2"/>
    <x v="2"/>
    <n v="41"/>
    <n v="6724"/>
    <n v="0.627"/>
    <n v="62.7"/>
    <n v="97.3"/>
    <n v="0.96"/>
    <n v="1"/>
    <n v="0"/>
    <n v="0.38400000000000001"/>
    <n v="38.4"/>
    <n v="65"/>
    <n v="11.3"/>
    <n v="317"/>
    <n v="0.24464845522603795"/>
    <n v="0.30572094147558548"/>
    <n v="19624.242424242428"/>
  </r>
  <r>
    <x v="0"/>
    <x v="18"/>
    <x v="2"/>
    <n v="10.49"/>
    <n v="10490"/>
    <n v="1358.4"/>
    <n v="18.100000000000001"/>
    <n v="32.4"/>
    <n v="67.599999999999994"/>
    <x v="4"/>
    <x v="1"/>
    <n v="32"/>
    <n v="5696"/>
    <n v="0.94299999999999995"/>
    <n v="94.3"/>
    <n v="95.4"/>
    <n v="0.06"/>
    <n v="0.1"/>
    <n v="0"/>
    <n v="6.0999999999999999E-2"/>
    <n v="6.1"/>
    <n v="20"/>
    <n v="5.5"/>
    <n v="379"/>
    <n v="0.15863193240980733"/>
    <n v="0.12434390024925701"/>
    <n v="579.55801104972375"/>
  </r>
  <r>
    <x v="1"/>
    <x v="18"/>
    <x v="2"/>
    <n v="12.16"/>
    <n v="12160"/>
    <n v="1784.9"/>
    <n v="27.9"/>
    <n v="69.900000000000006"/>
    <n v="59.6"/>
    <x v="2"/>
    <x v="1"/>
    <n v="110"/>
    <n v="13420"/>
    <n v="0.90700000000000003"/>
    <n v="90.7"/>
    <n v="86.3"/>
    <n v="0.05"/>
    <n v="0.16"/>
    <n v="0"/>
    <n v="0.12300000000000001"/>
    <n v="12.3"/>
    <n v="23"/>
    <n v="37.200000000000003"/>
    <n v="451"/>
    <n v="0.15863193240980733"/>
    <n v="0.12434390024925701"/>
    <n v="435.84229390681008"/>
  </r>
  <r>
    <x v="2"/>
    <x v="18"/>
    <x v="2"/>
    <n v="14.09"/>
    <n v="14090"/>
    <n v="1055.7"/>
    <n v="43.6"/>
    <n v="140"/>
    <n v="72.8"/>
    <x v="4"/>
    <x v="0"/>
    <n v="16"/>
    <n v="4224"/>
    <n v="0.58599999999999997"/>
    <n v="58.6"/>
    <n v="38.799999999999997"/>
    <n v="0.16"/>
    <n v="0.22"/>
    <n v="0"/>
    <n v="0.13100000000000001"/>
    <n v="13.1"/>
    <n v="26"/>
    <n v="3.6"/>
    <n v="387"/>
    <n v="0.15863193240980733"/>
    <n v="0.12434390024925701"/>
    <n v="323.16513761467888"/>
  </r>
  <r>
    <x v="3"/>
    <x v="18"/>
    <x v="2"/>
    <n v="16.32"/>
    <n v="16320"/>
    <n v="2158.4"/>
    <n v="12.1"/>
    <n v="29.8"/>
    <n v="44"/>
    <x v="1"/>
    <x v="1"/>
    <n v="19"/>
    <n v="5681"/>
    <n v="0.69499999999999995"/>
    <n v="69.5"/>
    <n v="37.299999999999997"/>
    <n v="0.15"/>
    <n v="0.28000000000000003"/>
    <n v="0"/>
    <n v="0.156"/>
    <n v="15.6"/>
    <n v="29"/>
    <n v="4.3"/>
    <n v="386"/>
    <n v="0.15863193240980733"/>
    <n v="0.12434390024925701"/>
    <n v="1348.7603305785124"/>
  </r>
  <r>
    <x v="4"/>
    <x v="18"/>
    <x v="2"/>
    <n v="18.91"/>
    <n v="18910"/>
    <n v="1031"/>
    <n v="14.6"/>
    <n v="22.4"/>
    <n v="99.8"/>
    <x v="3"/>
    <x v="0"/>
    <n v="25"/>
    <n v="6725"/>
    <n v="0.752"/>
    <n v="75.2"/>
    <n v="95.7"/>
    <n v="0.02"/>
    <n v="0.34"/>
    <n v="0"/>
    <n v="0.14199999999999999"/>
    <n v="14.2"/>
    <n v="32"/>
    <n v="9.1999999999999993"/>
    <n v="209"/>
    <n v="0.15863193240980733"/>
    <n v="0.12434390024925701"/>
    <n v="1295.2054794520548"/>
  </r>
  <r>
    <x v="5"/>
    <x v="18"/>
    <x v="2"/>
    <n v="21.91"/>
    <n v="21910"/>
    <n v="1324.2"/>
    <n v="35.5"/>
    <n v="86.1"/>
    <n v="44.2"/>
    <x v="4"/>
    <x v="1"/>
    <n v="113"/>
    <n v="17063"/>
    <n v="0.76800000000000002"/>
    <n v="76.8"/>
    <n v="80.400000000000006"/>
    <n v="0.12"/>
    <n v="0.4"/>
    <n v="0"/>
    <n v="0.193"/>
    <n v="19.3"/>
    <n v="35"/>
    <n v="23"/>
    <n v="197"/>
    <n v="0.15863193240980733"/>
    <n v="0.12434390024925701"/>
    <n v="617.18309859154931"/>
  </r>
  <r>
    <x v="6"/>
    <x v="18"/>
    <x v="2"/>
    <n v="25.38"/>
    <n v="25380"/>
    <n v="1835.3"/>
    <n v="52.6"/>
    <n v="162.1"/>
    <n v="119.8"/>
    <x v="1"/>
    <x v="0"/>
    <n v="68"/>
    <n v="16184"/>
    <n v="0.85699999999999998"/>
    <n v="85.7"/>
    <n v="27.4"/>
    <n v="0.23"/>
    <n v="0.46"/>
    <n v="0"/>
    <n v="0.20600000000000002"/>
    <n v="20.6"/>
    <n v="38"/>
    <n v="14.4"/>
    <n v="195"/>
    <n v="0.15863193240980733"/>
    <n v="0.12434390024925701"/>
    <n v="482.50950570342206"/>
  </r>
  <r>
    <x v="7"/>
    <x v="18"/>
    <x v="2"/>
    <n v="29.41"/>
    <n v="29410"/>
    <n v="1618.5"/>
    <n v="5.0999999999999996"/>
    <n v="14.6"/>
    <n v="85"/>
    <x v="4"/>
    <x v="2"/>
    <n v="44"/>
    <n v="6600"/>
    <n v="0.76"/>
    <n v="76"/>
    <n v="51.9"/>
    <n v="0.16"/>
    <n v="0.52"/>
    <n v="0"/>
    <n v="0.19899999999999998"/>
    <n v="19.899999999999999"/>
    <n v="41"/>
    <n v="13.4"/>
    <n v="414"/>
    <n v="0.15863193240980733"/>
    <n v="0.12434390024925701"/>
    <n v="5766.666666666667"/>
  </r>
  <r>
    <x v="8"/>
    <x v="18"/>
    <x v="2"/>
    <n v="34.07"/>
    <n v="34070"/>
    <n v="4756.1000000000004"/>
    <n v="48"/>
    <n v="87.3"/>
    <n v="36.200000000000003"/>
    <x v="4"/>
    <x v="0"/>
    <n v="94"/>
    <n v="17860"/>
    <n v="0.91099999999999992"/>
    <n v="91.1"/>
    <n v="67.400000000000006"/>
    <n v="0.33"/>
    <n v="0.57999999999999996"/>
    <n v="0"/>
    <n v="0.23600000000000002"/>
    <n v="23.6"/>
    <n v="44"/>
    <n v="16.100000000000001"/>
    <n v="23"/>
    <n v="0.15863193240980733"/>
    <n v="0.12434390024925701"/>
    <n v="709.79166666666663"/>
  </r>
  <r>
    <x v="9"/>
    <x v="18"/>
    <x v="2"/>
    <n v="39.479999999999997"/>
    <n v="39480"/>
    <n v="5225.2"/>
    <n v="24.3"/>
    <n v="58.8"/>
    <n v="66.400000000000006"/>
    <x v="2"/>
    <x v="2"/>
    <n v="39"/>
    <n v="4251"/>
    <n v="0.68900000000000006"/>
    <n v="68.900000000000006"/>
    <n v="70.099999999999994"/>
    <n v="0.48"/>
    <n v="0.64"/>
    <n v="0"/>
    <n v="0.24100000000000002"/>
    <n v="24.1"/>
    <n v="47"/>
    <n v="7"/>
    <n v="312"/>
    <n v="0.15863193240980733"/>
    <n v="0.12434390024925701"/>
    <n v="1624.6913580246912"/>
  </r>
  <r>
    <x v="10"/>
    <x v="18"/>
    <x v="2"/>
    <n v="45.74"/>
    <n v="45740"/>
    <n v="5289.2"/>
    <n v="58.3"/>
    <n v="153.1"/>
    <n v="115.8"/>
    <x v="3"/>
    <x v="1"/>
    <n v="17"/>
    <n v="3128"/>
    <n v="0.92200000000000004"/>
    <n v="92.2"/>
    <n v="74.599999999999994"/>
    <n v="0.44"/>
    <n v="1.0900000000000001"/>
    <n v="0.39"/>
    <n v="0.26"/>
    <n v="26"/>
    <n v="50"/>
    <n v="4.3"/>
    <n v="346"/>
    <n v="0.15863193240980733"/>
    <n v="0.12434390024925701"/>
    <n v="784.56260720411672"/>
  </r>
  <r>
    <x v="11"/>
    <x v="18"/>
    <x v="2"/>
    <n v="52.99"/>
    <n v="52990"/>
    <n v="7631.8"/>
    <n v="4.7"/>
    <n v="10.1"/>
    <n v="82.6"/>
    <x v="3"/>
    <x v="2"/>
    <n v="75"/>
    <n v="11700"/>
    <n v="0.7390000000000001"/>
    <n v="73.900000000000006"/>
    <n v="65.3"/>
    <n v="0.62"/>
    <n v="1.22"/>
    <n v="0.46"/>
    <n v="0.26200000000000001"/>
    <n v="26.2"/>
    <n v="53"/>
    <n v="29.3"/>
    <n v="430"/>
    <n v="0.15863193240980733"/>
    <n v="0.12434390024925701"/>
    <n v="11274.468085106382"/>
  </r>
  <r>
    <x v="12"/>
    <x v="18"/>
    <x v="2"/>
    <n v="61.4"/>
    <n v="61400"/>
    <n v="4185.8999999999996"/>
    <n v="11.1"/>
    <n v="35"/>
    <n v="35"/>
    <x v="0"/>
    <x v="0"/>
    <n v="49"/>
    <n v="6811"/>
    <n v="0.75099999999999989"/>
    <n v="75.099999999999994"/>
    <n v="42.4"/>
    <n v="0.65"/>
    <n v="0.82"/>
    <n v="0"/>
    <n v="0.28600000000000003"/>
    <n v="28.6"/>
    <n v="56"/>
    <n v="9.4"/>
    <n v="289"/>
    <n v="0.15863193240980733"/>
    <n v="0.12434390024925701"/>
    <n v="5531.531531531532"/>
  </r>
  <r>
    <x v="13"/>
    <x v="18"/>
    <x v="2"/>
    <n v="71.13"/>
    <n v="71130"/>
    <n v="3913.9"/>
    <n v="28.9"/>
    <n v="65.400000000000006"/>
    <n v="68"/>
    <x v="2"/>
    <x v="0"/>
    <n v="84"/>
    <n v="23184"/>
    <n v="0.80500000000000005"/>
    <n v="80.5"/>
    <n v="57.1"/>
    <n v="0.78"/>
    <n v="0.88"/>
    <n v="0"/>
    <n v="0.307"/>
    <n v="30.7"/>
    <n v="59"/>
    <n v="14.5"/>
    <n v="69"/>
    <n v="0.15863193240980733"/>
    <n v="0.12434390024925701"/>
    <n v="2461.2456747404844"/>
  </r>
  <r>
    <x v="14"/>
    <x v="18"/>
    <x v="2"/>
    <n v="82.42"/>
    <n v="82420"/>
    <n v="9544.2999999999993"/>
    <n v="2.5"/>
    <n v="8.4"/>
    <n v="58.5"/>
    <x v="2"/>
    <x v="0"/>
    <n v="112"/>
    <n v="5936"/>
    <n v="0.61199999999999999"/>
    <n v="61.2"/>
    <n v="66.099999999999994"/>
    <n v="0.87"/>
    <n v="0.94"/>
    <n v="0"/>
    <n v="0.33100000000000002"/>
    <n v="33.1"/>
    <n v="62"/>
    <n v="38.299999999999997"/>
    <n v="466"/>
    <n v="0.15863193240980733"/>
    <n v="0.12434390024925701"/>
    <n v="32968"/>
  </r>
  <r>
    <x v="15"/>
    <x v="18"/>
    <x v="2"/>
    <n v="95.49"/>
    <n v="95490"/>
    <n v="7879.8"/>
    <n v="4.3"/>
    <n v="8.6999999999999993"/>
    <n v="30.8"/>
    <x v="1"/>
    <x v="2"/>
    <n v="21"/>
    <n v="3045"/>
    <n v="0.82799999999999996"/>
    <n v="82.8"/>
    <n v="50.9"/>
    <n v="0.93"/>
    <n v="1"/>
    <n v="0"/>
    <n v="0.315"/>
    <n v="31.5"/>
    <n v="65"/>
    <n v="8.1999999999999993"/>
    <n v="223"/>
    <n v="0.15863193240980733"/>
    <n v="0.12434390024925701"/>
    <n v="22206.976744186046"/>
  </r>
  <r>
    <x v="0"/>
    <x v="19"/>
    <x v="6"/>
    <n v="12.49"/>
    <n v="12490"/>
    <n v="1397.6"/>
    <n v="28.4"/>
    <n v="86.8"/>
    <n v="149.69999999999999"/>
    <x v="2"/>
    <x v="2"/>
    <n v="80"/>
    <n v="10880"/>
    <n v="0.63700000000000001"/>
    <n v="63.7"/>
    <n v="39.9"/>
    <n v="0.08"/>
    <n v="0.1"/>
    <n v="0"/>
    <n v="8.1000000000000003E-2"/>
    <n v="8.1"/>
    <n v="20"/>
    <n v="21.2"/>
    <n v="211"/>
    <n v="0.13809141282795068"/>
    <n v="0.12223248137611864"/>
    <n v="439.78873239436621"/>
  </r>
  <r>
    <x v="1"/>
    <x v="19"/>
    <x v="6"/>
    <n v="14.21"/>
    <n v="14210"/>
    <n v="1147.0999999999999"/>
    <n v="33.700000000000003"/>
    <n v="78.7"/>
    <n v="49.2"/>
    <x v="4"/>
    <x v="0"/>
    <n v="113"/>
    <n v="33561"/>
    <n v="0.90400000000000003"/>
    <n v="90.4"/>
    <n v="31.3"/>
    <n v="0.04"/>
    <n v="0.16"/>
    <n v="0"/>
    <n v="0.128"/>
    <n v="12.8"/>
    <n v="23"/>
    <n v="28.8"/>
    <n v="323"/>
    <n v="0.13809141282795068"/>
    <n v="0.12223248137611864"/>
    <n v="421.66172106824922"/>
  </r>
  <r>
    <x v="2"/>
    <x v="19"/>
    <x v="6"/>
    <n v="16.170000000000002"/>
    <n v="16170.000000000002"/>
    <n v="893.4"/>
    <n v="11.3"/>
    <n v="24.4"/>
    <n v="39.200000000000003"/>
    <x v="0"/>
    <x v="1"/>
    <n v="79"/>
    <n v="4740"/>
    <n v="0.56100000000000005"/>
    <n v="56.1"/>
    <n v="42.4"/>
    <n v="0.15"/>
    <n v="0.22"/>
    <n v="0"/>
    <n v="0.122"/>
    <n v="12.2"/>
    <n v="26"/>
    <n v="28.2"/>
    <n v="73"/>
    <n v="0.13809141282795068"/>
    <n v="0.12223248137611864"/>
    <n v="1430.9734513274336"/>
  </r>
  <r>
    <x v="3"/>
    <x v="19"/>
    <x v="6"/>
    <n v="18.41"/>
    <n v="18410"/>
    <n v="2499.6"/>
    <n v="44.4"/>
    <n v="150.69999999999999"/>
    <n v="123.8"/>
    <x v="2"/>
    <x v="2"/>
    <n v="111"/>
    <n v="24864"/>
    <n v="0.755"/>
    <n v="75.5"/>
    <n v="25.5"/>
    <n v="0.09"/>
    <n v="0.28000000000000003"/>
    <n v="0"/>
    <n v="0.14899999999999999"/>
    <n v="14.9"/>
    <n v="29"/>
    <n v="23.5"/>
    <n v="483"/>
    <n v="0.13809141282795068"/>
    <n v="0.12223248137611864"/>
    <n v="414.63963963963965"/>
  </r>
  <r>
    <x v="4"/>
    <x v="19"/>
    <x v="6"/>
    <n v="20.95"/>
    <n v="20950"/>
    <n v="1616.2"/>
    <n v="54.4"/>
    <n v="122.5"/>
    <n v="96"/>
    <x v="3"/>
    <x v="2"/>
    <n v="108"/>
    <n v="18684"/>
    <n v="0.6"/>
    <n v="60"/>
    <n v="48.8"/>
    <n v="0.15"/>
    <n v="0.34"/>
    <n v="0"/>
    <n v="0.14599999999999999"/>
    <n v="14.6"/>
    <n v="32"/>
    <n v="27.7"/>
    <n v="301"/>
    <n v="0.13809141282795068"/>
    <n v="0.12223248137611864"/>
    <n v="385.11029411764707"/>
  </r>
  <r>
    <x v="5"/>
    <x v="19"/>
    <x v="6"/>
    <n v="23.84"/>
    <n v="23840"/>
    <n v="1996.7"/>
    <n v="52.5"/>
    <n v="87.5"/>
    <n v="55.3"/>
    <x v="1"/>
    <x v="2"/>
    <n v="78"/>
    <n v="9360"/>
    <n v="0.69900000000000007"/>
    <n v="69.900000000000006"/>
    <n v="50.1"/>
    <n v="0.09"/>
    <n v="0.4"/>
    <n v="0"/>
    <n v="0.16500000000000001"/>
    <n v="16.5"/>
    <n v="35"/>
    <n v="12.7"/>
    <n v="237"/>
    <n v="0.13809141282795068"/>
    <n v="0.12223248137611864"/>
    <n v="454.09523809523807"/>
  </r>
  <r>
    <x v="6"/>
    <x v="19"/>
    <x v="6"/>
    <n v="27.14"/>
    <n v="27140"/>
    <n v="1943.6"/>
    <n v="14.1"/>
    <n v="29.5"/>
    <n v="139.30000000000001"/>
    <x v="1"/>
    <x v="0"/>
    <n v="33"/>
    <n v="6501"/>
    <n v="0.68400000000000005"/>
    <n v="68.400000000000006"/>
    <n v="76"/>
    <n v="0.21"/>
    <n v="0.46"/>
    <n v="0"/>
    <n v="0.23699999999999999"/>
    <n v="23.7"/>
    <n v="38"/>
    <n v="11"/>
    <n v="462"/>
    <n v="0.13809141282795068"/>
    <n v="0.12223248137611864"/>
    <n v="1924.822695035461"/>
  </r>
  <r>
    <x v="7"/>
    <x v="19"/>
    <x v="6"/>
    <n v="30.88"/>
    <n v="30880"/>
    <n v="2586.6"/>
    <n v="48.6"/>
    <n v="96.8"/>
    <n v="147.1"/>
    <x v="1"/>
    <x v="2"/>
    <n v="104"/>
    <n v="7384"/>
    <n v="0.60299999999999998"/>
    <n v="60.3"/>
    <n v="55.8"/>
    <n v="0.28000000000000003"/>
    <n v="0.52"/>
    <n v="0"/>
    <n v="0.24100000000000002"/>
    <n v="24.1"/>
    <n v="41"/>
    <n v="24.4"/>
    <n v="79"/>
    <n v="0.13809141282795068"/>
    <n v="0.12223248137611864"/>
    <n v="635.39094650205755"/>
  </r>
  <r>
    <x v="8"/>
    <x v="19"/>
    <x v="6"/>
    <n v="35.15"/>
    <n v="35150"/>
    <n v="2253.4"/>
    <n v="33.6"/>
    <n v="57.6"/>
    <n v="35.4"/>
    <x v="2"/>
    <x v="2"/>
    <n v="91"/>
    <n v="15925"/>
    <n v="0.94499999999999995"/>
    <n v="94.5"/>
    <n v="27.3"/>
    <n v="0.35"/>
    <n v="0.57999999999999996"/>
    <n v="0"/>
    <n v="0.24100000000000002"/>
    <n v="24.1"/>
    <n v="44"/>
    <n v="25.8"/>
    <n v="146"/>
    <n v="0.13809141282795068"/>
    <n v="0.12223248137611864"/>
    <n v="1046.1309523809523"/>
  </r>
  <r>
    <x v="9"/>
    <x v="19"/>
    <x v="6"/>
    <n v="40"/>
    <n v="40000"/>
    <n v="5464.9"/>
    <n v="18.8"/>
    <n v="45.8"/>
    <n v="104.3"/>
    <x v="4"/>
    <x v="0"/>
    <n v="14"/>
    <n v="2506"/>
    <n v="0.51100000000000001"/>
    <n v="51.1"/>
    <n v="57.2"/>
    <n v="0.46"/>
    <n v="0.64"/>
    <n v="0"/>
    <n v="0.28699999999999998"/>
    <n v="28.7"/>
    <n v="47"/>
    <n v="4.3"/>
    <n v="97"/>
    <n v="0.13809141282795068"/>
    <n v="0.12223248137611864"/>
    <n v="2127.6595744680849"/>
  </r>
  <r>
    <x v="10"/>
    <x v="19"/>
    <x v="6"/>
    <n v="45.53"/>
    <n v="45530"/>
    <n v="2350.1999999999998"/>
    <n v="49.5"/>
    <n v="78.2"/>
    <n v="136.80000000000001"/>
    <x v="1"/>
    <x v="2"/>
    <n v="96"/>
    <n v="26208"/>
    <n v="0.84400000000000008"/>
    <n v="84.4"/>
    <n v="44"/>
    <n v="0.56999999999999995"/>
    <n v="1.23"/>
    <n v="0.53"/>
    <n v="0.27300000000000002"/>
    <n v="27.3"/>
    <n v="50"/>
    <n v="21.5"/>
    <n v="289"/>
    <n v="0.13809141282795068"/>
    <n v="0.12223248137611864"/>
    <n v="919.79797979797979"/>
  </r>
  <r>
    <x v="11"/>
    <x v="19"/>
    <x v="6"/>
    <n v="51.82"/>
    <n v="51820"/>
    <n v="3074.1"/>
    <n v="57.9"/>
    <n v="102.5"/>
    <n v="48.2"/>
    <x v="4"/>
    <x v="0"/>
    <n v="31"/>
    <n v="5022"/>
    <n v="0.75900000000000001"/>
    <n v="75.900000000000006"/>
    <n v="57.2"/>
    <n v="0.56999999999999995"/>
    <n v="1.1599999999999999"/>
    <n v="0.4"/>
    <n v="0.27800000000000002"/>
    <n v="27.8"/>
    <n v="53"/>
    <n v="12"/>
    <n v="175"/>
    <n v="0.13809141282795068"/>
    <n v="0.12223248137611864"/>
    <n v="894.99136442141628"/>
  </r>
  <r>
    <x v="12"/>
    <x v="19"/>
    <x v="6"/>
    <n v="58.97"/>
    <n v="58970"/>
    <n v="4858.3"/>
    <n v="40.299999999999997"/>
    <n v="113.1"/>
    <n v="60.1"/>
    <x v="1"/>
    <x v="0"/>
    <n v="84"/>
    <n v="24024"/>
    <n v="0.52"/>
    <n v="52"/>
    <n v="80.099999999999994"/>
    <n v="0.69"/>
    <n v="0.82"/>
    <n v="0"/>
    <n v="0.29899999999999999"/>
    <n v="29.9"/>
    <n v="56"/>
    <n v="25.3"/>
    <n v="171"/>
    <n v="0.13809141282795068"/>
    <n v="0.12223248137611864"/>
    <n v="1463.2754342431763"/>
  </r>
  <r>
    <x v="13"/>
    <x v="19"/>
    <x v="6"/>
    <n v="67.12"/>
    <n v="67120"/>
    <n v="6117"/>
    <n v="9.3000000000000007"/>
    <n v="14.5"/>
    <n v="104.7"/>
    <x v="1"/>
    <x v="0"/>
    <n v="102"/>
    <n v="22950"/>
    <n v="0.69200000000000006"/>
    <n v="69.2"/>
    <n v="66.099999999999994"/>
    <n v="0.76"/>
    <n v="0.88"/>
    <n v="0"/>
    <n v="0.29199999999999998"/>
    <n v="29.2"/>
    <n v="59"/>
    <n v="16"/>
    <n v="417"/>
    <n v="0.13809141282795068"/>
    <n v="0.12223248137611864"/>
    <n v="7217.2043010752686"/>
  </r>
  <r>
    <x v="14"/>
    <x v="19"/>
    <x v="6"/>
    <n v="76.39"/>
    <n v="76390"/>
    <n v="9972.7000000000007"/>
    <n v="25.1"/>
    <n v="78"/>
    <n v="101"/>
    <x v="0"/>
    <x v="0"/>
    <n v="88"/>
    <n v="15312"/>
    <n v="0.746"/>
    <n v="74.599999999999994"/>
    <n v="88"/>
    <n v="0.93"/>
    <n v="0.94"/>
    <n v="0"/>
    <n v="0.33100000000000002"/>
    <n v="33.1"/>
    <n v="62"/>
    <n v="13.7"/>
    <n v="225"/>
    <n v="0.13809141282795068"/>
    <n v="0.12223248137611864"/>
    <n v="3043.426294820717"/>
  </r>
  <r>
    <x v="15"/>
    <x v="19"/>
    <x v="6"/>
    <n v="86.94"/>
    <n v="86940"/>
    <n v="7881.8"/>
    <n v="10.3"/>
    <n v="30.2"/>
    <n v="65.2"/>
    <x v="1"/>
    <x v="2"/>
    <n v="82"/>
    <n v="14432"/>
    <n v="0.63900000000000001"/>
    <n v="63.9"/>
    <n v="87.8"/>
    <n v="0.93"/>
    <n v="1"/>
    <n v="0"/>
    <n v="0.34499999999999997"/>
    <n v="34.5"/>
    <n v="65"/>
    <n v="26.6"/>
    <n v="157"/>
    <n v="0.13809141282795068"/>
    <n v="0.12223248137611864"/>
    <n v="8440.7766990291257"/>
  </r>
  <r>
    <x v="0"/>
    <x v="20"/>
    <x v="4"/>
    <n v="14.24"/>
    <n v="14240"/>
    <n v="1614.7"/>
    <n v="36.4"/>
    <n v="55.8"/>
    <n v="117.5"/>
    <x v="0"/>
    <x v="1"/>
    <n v="20"/>
    <n v="2600"/>
    <n v="0.55700000000000005"/>
    <n v="55.7"/>
    <n v="86"/>
    <n v="0.13"/>
    <n v="0.1"/>
    <n v="0"/>
    <n v="7.6999999999999999E-2"/>
    <n v="7.7"/>
    <n v="20"/>
    <n v="6.3"/>
    <n v="410"/>
    <n v="0.10917839377844163"/>
    <n v="0.11988699614535592"/>
    <n v="391.20879120879124"/>
  </r>
  <r>
    <x v="1"/>
    <x v="20"/>
    <x v="4"/>
    <n v="15.8"/>
    <n v="15800"/>
    <n v="1425"/>
    <n v="44.3"/>
    <n v="135.5"/>
    <n v="44.2"/>
    <x v="4"/>
    <x v="1"/>
    <n v="101"/>
    <n v="29694"/>
    <n v="0.56700000000000006"/>
    <n v="56.7"/>
    <n v="31.9"/>
    <n v="0.06"/>
    <n v="0.16"/>
    <n v="0"/>
    <n v="0.122"/>
    <n v="12.2"/>
    <n v="23"/>
    <n v="33.1"/>
    <n v="297"/>
    <n v="0.10917839377844163"/>
    <n v="0.11988699614535592"/>
    <n v="356.65914221218964"/>
  </r>
  <r>
    <x v="2"/>
    <x v="20"/>
    <x v="4"/>
    <n v="17.52"/>
    <n v="17520"/>
    <n v="1025.2"/>
    <n v="33.799999999999997"/>
    <n v="76.5"/>
    <n v="102.9"/>
    <x v="4"/>
    <x v="1"/>
    <n v="95"/>
    <n v="13110"/>
    <n v="0.53600000000000003"/>
    <n v="53.6"/>
    <n v="87.2"/>
    <n v="0.13"/>
    <n v="0.22"/>
    <n v="0"/>
    <n v="0.18899999999999997"/>
    <n v="18.899999999999999"/>
    <n v="26"/>
    <n v="23.5"/>
    <n v="63"/>
    <n v="0.10917839377844163"/>
    <n v="0.11988699614535592"/>
    <n v="518.34319526627223"/>
  </r>
  <r>
    <x v="3"/>
    <x v="20"/>
    <x v="4"/>
    <n v="19.440000000000001"/>
    <n v="19440"/>
    <n v="2669.6"/>
    <n v="59.7"/>
    <n v="159.19999999999999"/>
    <n v="127.5"/>
    <x v="4"/>
    <x v="0"/>
    <n v="62"/>
    <n v="14260"/>
    <n v="0.80299999999999994"/>
    <n v="80.3"/>
    <n v="76.2"/>
    <n v="0.17"/>
    <n v="0.28000000000000003"/>
    <n v="0"/>
    <n v="0.1"/>
    <n v="10"/>
    <n v="29"/>
    <n v="14"/>
    <n v="38"/>
    <n v="0.10917839377844163"/>
    <n v="0.11988699614535592"/>
    <n v="325.62814070351754"/>
  </r>
  <r>
    <x v="4"/>
    <x v="20"/>
    <x v="4"/>
    <n v="21.56"/>
    <n v="21560"/>
    <n v="2669.8"/>
    <n v="40.700000000000003"/>
    <n v="70.7"/>
    <n v="98.7"/>
    <x v="3"/>
    <x v="0"/>
    <n v="24"/>
    <n v="2928"/>
    <n v="0.94799999999999995"/>
    <n v="94.8"/>
    <n v="31.9"/>
    <n v="0.05"/>
    <n v="0.34"/>
    <n v="0"/>
    <n v="0.19500000000000001"/>
    <n v="19.5"/>
    <n v="32"/>
    <n v="8.4"/>
    <n v="180"/>
    <n v="0.10917839377844163"/>
    <n v="0.11988699614535592"/>
    <n v="529.72972972972968"/>
  </r>
  <r>
    <x v="5"/>
    <x v="20"/>
    <x v="4"/>
    <n v="23.91"/>
    <n v="23910"/>
    <n v="2671"/>
    <n v="51.3"/>
    <n v="97.1"/>
    <n v="45.1"/>
    <x v="2"/>
    <x v="1"/>
    <n v="46"/>
    <n v="6394"/>
    <n v="0.76400000000000001"/>
    <n v="76.400000000000006"/>
    <n v="65.599999999999994"/>
    <n v="0.08"/>
    <n v="0.4"/>
    <n v="0"/>
    <n v="0.14899999999999999"/>
    <n v="14.9"/>
    <n v="35"/>
    <n v="8.1"/>
    <n v="29"/>
    <n v="0.10917839377844163"/>
    <n v="0.11988699614535592"/>
    <n v="466.08187134502924"/>
  </r>
  <r>
    <x v="6"/>
    <x v="20"/>
    <x v="4"/>
    <n v="26.52"/>
    <n v="26520"/>
    <n v="3913"/>
    <n v="29.5"/>
    <n v="48.2"/>
    <n v="35.799999999999997"/>
    <x v="2"/>
    <x v="1"/>
    <n v="46"/>
    <n v="9384"/>
    <n v="0.622"/>
    <n v="62.2"/>
    <n v="54.9"/>
    <n v="0.23"/>
    <n v="0.46"/>
    <n v="0"/>
    <n v="0.20899999999999999"/>
    <n v="20.9"/>
    <n v="38"/>
    <n v="17.600000000000001"/>
    <n v="381"/>
    <n v="0.10917839377844163"/>
    <n v="0.11988699614535592"/>
    <n v="898.98305084745766"/>
  </r>
  <r>
    <x v="7"/>
    <x v="20"/>
    <x v="4"/>
    <n v="29.42"/>
    <n v="29420"/>
    <n v="4112.1000000000004"/>
    <n v="49"/>
    <n v="130.6"/>
    <n v="117.6"/>
    <x v="1"/>
    <x v="2"/>
    <n v="11"/>
    <n v="660"/>
    <n v="0.81499999999999995"/>
    <n v="81.5"/>
    <n v="82.8"/>
    <n v="0.31"/>
    <n v="0.52"/>
    <n v="0"/>
    <n v="0.18600000000000003"/>
    <n v="18.600000000000001"/>
    <n v="41"/>
    <n v="4.0999999999999996"/>
    <n v="149"/>
    <n v="0.10917839377844163"/>
    <n v="0.11988699614535592"/>
    <n v="600.40816326530614"/>
  </r>
  <r>
    <x v="8"/>
    <x v="20"/>
    <x v="4"/>
    <n v="32.630000000000003"/>
    <n v="32630.000000000004"/>
    <n v="1699.6"/>
    <n v="20.3"/>
    <n v="32.799999999999997"/>
    <n v="122"/>
    <x v="1"/>
    <x v="1"/>
    <n v="58"/>
    <n v="13572"/>
    <n v="0.91900000000000004"/>
    <n v="91.9"/>
    <n v="75.7"/>
    <n v="0.38"/>
    <n v="0.57999999999999996"/>
    <n v="0"/>
    <n v="0.22800000000000001"/>
    <n v="22.8"/>
    <n v="44"/>
    <n v="22.7"/>
    <n v="131"/>
    <n v="0.10917839377844163"/>
    <n v="0.11988699614535592"/>
    <n v="1607.3891625615765"/>
  </r>
  <r>
    <x v="9"/>
    <x v="20"/>
    <x v="4"/>
    <n v="36.19"/>
    <n v="36190"/>
    <n v="2717.3"/>
    <n v="9"/>
    <n v="24"/>
    <n v="146.30000000000001"/>
    <x v="3"/>
    <x v="2"/>
    <n v="30"/>
    <n v="6060"/>
    <n v="0.72799999999999998"/>
    <n v="72.8"/>
    <n v="37.1"/>
    <n v="0.45"/>
    <n v="0.64"/>
    <n v="0"/>
    <n v="0.247"/>
    <n v="24.7"/>
    <n v="47"/>
    <n v="5"/>
    <n v="295"/>
    <n v="0.10917839377844163"/>
    <n v="0.11988699614535592"/>
    <n v="4021.1111111111113"/>
  </r>
  <r>
    <x v="10"/>
    <x v="20"/>
    <x v="4"/>
    <n v="40.14"/>
    <n v="40140"/>
    <n v="2007.7"/>
    <n v="37.6"/>
    <n v="102.8"/>
    <n v="84.9"/>
    <x v="2"/>
    <x v="1"/>
    <n v="42"/>
    <n v="4746"/>
    <n v="0.79200000000000004"/>
    <n v="79.2"/>
    <n v="96.6"/>
    <n v="0.52"/>
    <n v="1.1000000000000001"/>
    <n v="0.4"/>
    <n v="0.26600000000000001"/>
    <n v="26.6"/>
    <n v="50"/>
    <n v="14.8"/>
    <n v="178"/>
    <n v="0.10917839377844163"/>
    <n v="0.11988699614535592"/>
    <n v="1067.5531914893616"/>
  </r>
  <r>
    <x v="11"/>
    <x v="20"/>
    <x v="4"/>
    <n v="44.52"/>
    <n v="44520"/>
    <n v="2721.1"/>
    <n v="52.4"/>
    <n v="109.7"/>
    <n v="49.5"/>
    <x v="1"/>
    <x v="1"/>
    <n v="64"/>
    <n v="13504"/>
    <n v="0.81400000000000006"/>
    <n v="81.400000000000006"/>
    <n v="41.1"/>
    <n v="0.59"/>
    <n v="1.03"/>
    <n v="0.27"/>
    <n v="0.249"/>
    <n v="24.9"/>
    <n v="53"/>
    <n v="10.199999999999999"/>
    <n v="80"/>
    <n v="0.10917839377844163"/>
    <n v="0.11988699614535592"/>
    <n v="849.61832061068708"/>
  </r>
  <r>
    <x v="12"/>
    <x v="20"/>
    <x v="4"/>
    <n v="49.38"/>
    <n v="49380"/>
    <n v="5318.2"/>
    <n v="22"/>
    <n v="68.5"/>
    <n v="94.8"/>
    <x v="4"/>
    <x v="0"/>
    <n v="47"/>
    <n v="3572"/>
    <n v="0.57700000000000007"/>
    <n v="57.7"/>
    <n v="90.9"/>
    <n v="0.71"/>
    <n v="0.82"/>
    <n v="0"/>
    <n v="0.30499999999999999"/>
    <n v="30.5"/>
    <n v="56"/>
    <n v="14"/>
    <n v="364"/>
    <n v="0.10917839377844163"/>
    <n v="0.11988699614535592"/>
    <n v="2244.5454545454545"/>
  </r>
  <r>
    <x v="13"/>
    <x v="20"/>
    <x v="4"/>
    <n v="54.77"/>
    <n v="54770"/>
    <n v="6001.1"/>
    <n v="6.7"/>
    <n v="22.6"/>
    <n v="120.6"/>
    <x v="3"/>
    <x v="0"/>
    <n v="43"/>
    <n v="12126"/>
    <n v="0.78400000000000003"/>
    <n v="78.400000000000006"/>
    <n v="87.1"/>
    <n v="0.73"/>
    <n v="0.88"/>
    <n v="0"/>
    <n v="0.29399999999999998"/>
    <n v="29.4"/>
    <n v="59"/>
    <n v="15.4"/>
    <n v="27"/>
    <n v="0.10917839377844163"/>
    <n v="0.11988699614535592"/>
    <n v="8174.626865671642"/>
  </r>
  <r>
    <x v="14"/>
    <x v="20"/>
    <x v="4"/>
    <n v="60.75"/>
    <n v="60750"/>
    <n v="7159.3"/>
    <n v="20.7"/>
    <n v="72.099999999999994"/>
    <n v="69.099999999999994"/>
    <x v="3"/>
    <x v="2"/>
    <n v="10"/>
    <n v="1190"/>
    <n v="0.69"/>
    <n v="69"/>
    <n v="99.7"/>
    <n v="0.77"/>
    <n v="0.94"/>
    <n v="0"/>
    <n v="0.32100000000000001"/>
    <n v="32.1"/>
    <n v="62"/>
    <n v="3"/>
    <n v="39"/>
    <n v="0.10917839377844163"/>
    <n v="0.11988699614535592"/>
    <n v="2934.7826086956525"/>
  </r>
  <r>
    <x v="15"/>
    <x v="20"/>
    <x v="4"/>
    <n v="67.38"/>
    <n v="67380"/>
    <n v="8824.7999999999993"/>
    <n v="57.1"/>
    <n v="88.2"/>
    <n v="147.9"/>
    <x v="4"/>
    <x v="1"/>
    <n v="25"/>
    <n v="3125"/>
    <n v="0.55899999999999994"/>
    <n v="55.9"/>
    <n v="58"/>
    <n v="0.89"/>
    <n v="1"/>
    <n v="0"/>
    <n v="0.39100000000000001"/>
    <n v="39.1"/>
    <n v="65"/>
    <n v="8.8000000000000007"/>
    <n v="189"/>
    <n v="0.10917839377844163"/>
    <n v="0.11988699614535592"/>
    <n v="1180.0350262697023"/>
  </r>
  <r>
    <x v="0"/>
    <x v="21"/>
    <x v="3"/>
    <n v="1.34"/>
    <n v="1340"/>
    <n v="128.30000000000001"/>
    <n v="45.6"/>
    <n v="151.1"/>
    <n v="130.19999999999999"/>
    <x v="3"/>
    <x v="0"/>
    <n v="99"/>
    <n v="16929"/>
    <n v="0.61899999999999999"/>
    <n v="61.9"/>
    <n v="62.8"/>
    <n v="0.09"/>
    <n v="0.1"/>
    <n v="0"/>
    <n v="9.5000000000000001E-2"/>
    <n v="9.5"/>
    <n v="20"/>
    <n v="25.8"/>
    <n v="481"/>
    <n v="7.3080164305395545E-2"/>
    <n v="7.1539348228604194E-2"/>
    <n v="29.385964912280702"/>
  </r>
  <r>
    <x v="1"/>
    <x v="21"/>
    <x v="3"/>
    <n v="1.44"/>
    <n v="1440"/>
    <n v="162.4"/>
    <n v="47.5"/>
    <n v="128.1"/>
    <n v="79.7"/>
    <x v="1"/>
    <x v="1"/>
    <n v="20"/>
    <n v="2880"/>
    <n v="0.78200000000000003"/>
    <n v="78.2"/>
    <n v="67.900000000000006"/>
    <n v="0.16"/>
    <n v="0.16"/>
    <n v="0"/>
    <n v="0.121"/>
    <n v="12.1"/>
    <n v="23"/>
    <n v="5.7"/>
    <n v="438"/>
    <n v="7.3080164305395545E-2"/>
    <n v="7.1539348228604194E-2"/>
    <n v="30.315789473684209"/>
  </r>
  <r>
    <x v="2"/>
    <x v="21"/>
    <x v="3"/>
    <n v="1.54"/>
    <n v="1540"/>
    <n v="198.4"/>
    <n v="18.399999999999999"/>
    <n v="58.5"/>
    <n v="95.2"/>
    <x v="3"/>
    <x v="1"/>
    <n v="19"/>
    <n v="4712"/>
    <n v="0.83400000000000007"/>
    <n v="83.4"/>
    <n v="43.3"/>
    <n v="0.12"/>
    <n v="0.22"/>
    <n v="0"/>
    <n v="0.14199999999999999"/>
    <n v="14.2"/>
    <n v="26"/>
    <n v="4.9000000000000004"/>
    <n v="44"/>
    <n v="7.3080164305395545E-2"/>
    <n v="7.1539348228604194E-2"/>
    <n v="83.695652173913047"/>
  </r>
  <r>
    <x v="3"/>
    <x v="21"/>
    <x v="3"/>
    <n v="1.65"/>
    <n v="1650"/>
    <n v="167.3"/>
    <n v="30"/>
    <n v="68"/>
    <n v="130.69999999999999"/>
    <x v="0"/>
    <x v="1"/>
    <n v="88"/>
    <n v="19712"/>
    <n v="0.53200000000000003"/>
    <n v="53.2"/>
    <n v="68"/>
    <n v="0.09"/>
    <n v="0.28000000000000003"/>
    <n v="0"/>
    <n v="0.13900000000000001"/>
    <n v="13.9"/>
    <n v="29"/>
    <n v="24.3"/>
    <n v="342"/>
    <n v="7.3080164305395545E-2"/>
    <n v="7.1539348228604194E-2"/>
    <n v="55"/>
  </r>
  <r>
    <x v="4"/>
    <x v="21"/>
    <x v="3"/>
    <n v="1.77"/>
    <n v="1770"/>
    <n v="251.6"/>
    <n v="47.1"/>
    <n v="148.19999999999999"/>
    <n v="138.30000000000001"/>
    <x v="2"/>
    <x v="1"/>
    <n v="117"/>
    <n v="32526"/>
    <n v="0.76500000000000001"/>
    <n v="76.5"/>
    <n v="59.1"/>
    <n v="7.0000000000000007E-2"/>
    <n v="0.34"/>
    <n v="0"/>
    <n v="0.16"/>
    <n v="16"/>
    <n v="32"/>
    <n v="30.7"/>
    <n v="378"/>
    <n v="7.3080164305395545E-2"/>
    <n v="7.1539348228604194E-2"/>
    <n v="37.579617834394902"/>
  </r>
  <r>
    <x v="5"/>
    <x v="21"/>
    <x v="3"/>
    <n v="1.91"/>
    <n v="1910"/>
    <n v="163.5"/>
    <n v="59.4"/>
    <n v="170.4"/>
    <n v="143.9"/>
    <x v="1"/>
    <x v="0"/>
    <n v="22"/>
    <n v="5258"/>
    <n v="0.80299999999999994"/>
    <n v="80.3"/>
    <n v="37.700000000000003"/>
    <n v="0.02"/>
    <n v="0.4"/>
    <n v="0"/>
    <n v="0.18600000000000003"/>
    <n v="18.600000000000001"/>
    <n v="35"/>
    <n v="5.4"/>
    <n v="101"/>
    <n v="7.3080164305395545E-2"/>
    <n v="7.1539348228604194E-2"/>
    <n v="32.154882154882152"/>
  </r>
  <r>
    <x v="6"/>
    <x v="21"/>
    <x v="3"/>
    <n v="2.04"/>
    <n v="2040"/>
    <n v="202.3"/>
    <n v="26.1"/>
    <n v="40.4"/>
    <n v="70.2"/>
    <x v="3"/>
    <x v="0"/>
    <n v="50"/>
    <n v="14900"/>
    <n v="0.77"/>
    <n v="77"/>
    <n v="79.599999999999994"/>
    <n v="0.12"/>
    <n v="0.46"/>
    <n v="0"/>
    <n v="0.23499999999999999"/>
    <n v="23.5"/>
    <n v="38"/>
    <n v="8.6999999999999993"/>
    <n v="441"/>
    <n v="7.3080164305395545E-2"/>
    <n v="7.1539348228604194E-2"/>
    <n v="78.160919540229884"/>
  </r>
  <r>
    <x v="7"/>
    <x v="21"/>
    <x v="3"/>
    <n v="2.19"/>
    <n v="2190"/>
    <n v="146.9"/>
    <n v="5"/>
    <n v="13.6"/>
    <n v="54.9"/>
    <x v="1"/>
    <x v="1"/>
    <n v="78"/>
    <n v="23088"/>
    <n v="0.69700000000000006"/>
    <n v="69.7"/>
    <n v="72.099999999999994"/>
    <n v="0.26"/>
    <n v="0.52"/>
    <n v="0"/>
    <n v="0.19600000000000001"/>
    <n v="19.600000000000001"/>
    <n v="41"/>
    <n v="13.9"/>
    <n v="448"/>
    <n v="7.3080164305395545E-2"/>
    <n v="7.1539348228604194E-2"/>
    <n v="438"/>
  </r>
  <r>
    <x v="8"/>
    <x v="21"/>
    <x v="3"/>
    <n v="2.36"/>
    <n v="2360"/>
    <n v="313.39999999999998"/>
    <n v="15"/>
    <n v="34.5"/>
    <n v="79.2"/>
    <x v="3"/>
    <x v="0"/>
    <n v="90"/>
    <n v="18000"/>
    <n v="0.86499999999999999"/>
    <n v="86.5"/>
    <n v="45.4"/>
    <n v="0.37"/>
    <n v="0.57999999999999996"/>
    <n v="0"/>
    <n v="0.22600000000000001"/>
    <n v="22.6"/>
    <n v="44"/>
    <n v="13.9"/>
    <n v="453"/>
    <n v="7.3080164305395545E-2"/>
    <n v="7.1539348228604194E-2"/>
    <n v="157.33333333333334"/>
  </r>
  <r>
    <x v="9"/>
    <x v="21"/>
    <x v="3"/>
    <n v="2.5299999999999998"/>
    <n v="2530"/>
    <n v="329.7"/>
    <n v="52.3"/>
    <n v="84.6"/>
    <n v="113"/>
    <x v="0"/>
    <x v="0"/>
    <n v="102"/>
    <n v="17952"/>
    <n v="0.7340000000000001"/>
    <n v="73.400000000000006"/>
    <n v="99.7"/>
    <n v="0.48"/>
    <n v="0.64"/>
    <n v="0"/>
    <n v="0.25600000000000001"/>
    <n v="25.6"/>
    <n v="47"/>
    <n v="25.9"/>
    <n v="25"/>
    <n v="7.3080164305395545E-2"/>
    <n v="7.1539348228604194E-2"/>
    <n v="48.374760994263866"/>
  </r>
  <r>
    <x v="10"/>
    <x v="21"/>
    <x v="3"/>
    <n v="2.71"/>
    <n v="2710"/>
    <n v="170.3"/>
    <n v="25.7"/>
    <n v="56.8"/>
    <n v="66.3"/>
    <x v="0"/>
    <x v="1"/>
    <n v="91"/>
    <n v="20020"/>
    <n v="0.65700000000000003"/>
    <n v="65.7"/>
    <n v="43.3"/>
    <n v="0.41"/>
    <n v="1.1499999999999999"/>
    <n v="0.45"/>
    <n v="0.30399999999999999"/>
    <n v="30.4"/>
    <n v="50"/>
    <n v="29.6"/>
    <n v="414"/>
    <n v="7.3080164305395545E-2"/>
    <n v="7.1539348228604194E-2"/>
    <n v="105.44747081712063"/>
  </r>
  <r>
    <x v="11"/>
    <x v="21"/>
    <x v="3"/>
    <n v="2.91"/>
    <n v="2910"/>
    <n v="206.8"/>
    <n v="45.1"/>
    <n v="69.8"/>
    <n v="72.599999999999994"/>
    <x v="3"/>
    <x v="2"/>
    <n v="54"/>
    <n v="12150"/>
    <n v="0.83499999999999996"/>
    <n v="83.5"/>
    <n v="55.9"/>
    <n v="0.68"/>
    <n v="1.1499999999999999"/>
    <n v="0.39"/>
    <n v="0.315"/>
    <n v="31.5"/>
    <n v="53"/>
    <n v="15.7"/>
    <n v="30"/>
    <n v="7.3080164305395545E-2"/>
    <n v="7.1539348228604194E-2"/>
    <n v="64.523281596452321"/>
  </r>
  <r>
    <x v="12"/>
    <x v="21"/>
    <x v="3"/>
    <n v="3.13"/>
    <n v="3130"/>
    <n v="308.89999999999998"/>
    <n v="9.6999999999999993"/>
    <n v="19.7"/>
    <n v="80.3"/>
    <x v="4"/>
    <x v="0"/>
    <n v="21"/>
    <n v="1617"/>
    <n v="0.503"/>
    <n v="50.3"/>
    <n v="62.2"/>
    <n v="0.69"/>
    <n v="0.82"/>
    <n v="0"/>
    <n v="0.32899999999999996"/>
    <n v="32.9"/>
    <n v="56"/>
    <n v="5.8"/>
    <n v="258"/>
    <n v="7.3080164305395545E-2"/>
    <n v="7.1539348228604194E-2"/>
    <n v="322.68041237113403"/>
  </r>
  <r>
    <x v="13"/>
    <x v="21"/>
    <x v="3"/>
    <n v="3.35"/>
    <n v="3350"/>
    <n v="274.60000000000002"/>
    <n v="8.1"/>
    <n v="14.2"/>
    <n v="98.9"/>
    <x v="4"/>
    <x v="2"/>
    <n v="101"/>
    <n v="20301"/>
    <n v="0.55600000000000005"/>
    <n v="55.6"/>
    <n v="44"/>
    <n v="0.72"/>
    <n v="0.88"/>
    <n v="0"/>
    <n v="0.313"/>
    <n v="31.3"/>
    <n v="59"/>
    <n v="15.9"/>
    <n v="10"/>
    <n v="7.3080164305395545E-2"/>
    <n v="7.1539348228604194E-2"/>
    <n v="413.58024691358025"/>
  </r>
  <r>
    <x v="14"/>
    <x v="21"/>
    <x v="3"/>
    <n v="3.6"/>
    <n v="3600"/>
    <n v="500.7"/>
    <n v="36.6"/>
    <n v="114.3"/>
    <n v="81.599999999999994"/>
    <x v="4"/>
    <x v="0"/>
    <n v="20"/>
    <n v="4620"/>
    <n v="0.58099999999999996"/>
    <n v="58.1"/>
    <n v="45.2"/>
    <n v="0.83"/>
    <n v="0.94"/>
    <n v="0"/>
    <n v="0.35499999999999998"/>
    <n v="35.5"/>
    <n v="62"/>
    <n v="7.6"/>
    <n v="245"/>
    <n v="7.3080164305395545E-2"/>
    <n v="7.1539348228604194E-2"/>
    <n v="98.360655737704917"/>
  </r>
  <r>
    <x v="15"/>
    <x v="21"/>
    <x v="3"/>
    <n v="3.86"/>
    <n v="3860"/>
    <n v="361.7"/>
    <n v="36.5"/>
    <n v="97.7"/>
    <n v="38.1"/>
    <x v="2"/>
    <x v="0"/>
    <n v="109"/>
    <n v="10573"/>
    <n v="0.73299999999999998"/>
    <n v="73.3"/>
    <n v="41"/>
    <n v="0.87"/>
    <n v="1"/>
    <n v="0"/>
    <n v="0.375"/>
    <n v="37.5"/>
    <n v="65"/>
    <n v="21.2"/>
    <n v="453"/>
    <n v="7.3080164305395545E-2"/>
    <n v="7.1539348228604194E-2"/>
    <n v="105.75342465753425"/>
  </r>
  <r>
    <x v="0"/>
    <x v="22"/>
    <x v="2"/>
    <n v="1.2"/>
    <n v="1200"/>
    <n v="164.2"/>
    <n v="19.899999999999999"/>
    <n v="41.6"/>
    <n v="61.9"/>
    <x v="0"/>
    <x v="1"/>
    <n v="19"/>
    <n v="2812"/>
    <n v="0.79799999999999993"/>
    <n v="79.8"/>
    <n v="85.6"/>
    <n v="0.02"/>
    <n v="0.1"/>
    <n v="0"/>
    <n v="0.13"/>
    <n v="13"/>
    <n v="20"/>
    <n v="5.5"/>
    <n v="120"/>
    <n v="0.12237132664292405"/>
    <n v="0.11557112681169279"/>
    <n v="60.301507537688444"/>
  </r>
  <r>
    <x v="1"/>
    <x v="22"/>
    <x v="2"/>
    <n v="1.35"/>
    <n v="1350"/>
    <n v="202.3"/>
    <n v="43.8"/>
    <n v="90.8"/>
    <n v="135.6"/>
    <x v="4"/>
    <x v="0"/>
    <n v="116"/>
    <n v="27840"/>
    <n v="0.61499999999999999"/>
    <n v="61.5"/>
    <n v="41.5"/>
    <n v="0.12"/>
    <n v="0.16"/>
    <n v="0"/>
    <n v="0.121"/>
    <n v="12.1"/>
    <n v="23"/>
    <n v="24.1"/>
    <n v="307"/>
    <n v="0.12237132664292405"/>
    <n v="0.11557112681169279"/>
    <n v="30.82191780821918"/>
  </r>
  <r>
    <x v="2"/>
    <x v="22"/>
    <x v="2"/>
    <n v="1.52"/>
    <n v="1520"/>
    <n v="178.2"/>
    <n v="15.9"/>
    <n v="47.9"/>
    <n v="121.2"/>
    <x v="0"/>
    <x v="1"/>
    <n v="6"/>
    <n v="1770"/>
    <n v="0.67400000000000004"/>
    <n v="67.400000000000006"/>
    <n v="53"/>
    <n v="0.1"/>
    <n v="0.22"/>
    <n v="0"/>
    <n v="0.156"/>
    <n v="15.6"/>
    <n v="26"/>
    <n v="1.5"/>
    <n v="206"/>
    <n v="0.12237132664292405"/>
    <n v="0.11557112681169279"/>
    <n v="95.59748427672956"/>
  </r>
  <r>
    <x v="3"/>
    <x v="22"/>
    <x v="2"/>
    <n v="1.7"/>
    <n v="1700"/>
    <n v="249.4"/>
    <n v="24.8"/>
    <n v="43.7"/>
    <n v="110.6"/>
    <x v="2"/>
    <x v="1"/>
    <n v="17"/>
    <n v="2907"/>
    <n v="0.72699999999999998"/>
    <n v="72.7"/>
    <n v="48.4"/>
    <n v="0.14000000000000001"/>
    <n v="0.28000000000000003"/>
    <n v="0"/>
    <n v="0.17100000000000001"/>
    <n v="17.100000000000001"/>
    <n v="29"/>
    <n v="5"/>
    <n v="91"/>
    <n v="0.12237132664292405"/>
    <n v="0.11557112681169279"/>
    <n v="68.548387096774192"/>
  </r>
  <r>
    <x v="4"/>
    <x v="22"/>
    <x v="2"/>
    <n v="1.91"/>
    <n v="1910"/>
    <n v="216.9"/>
    <n v="25.1"/>
    <n v="38"/>
    <n v="92.8"/>
    <x v="4"/>
    <x v="1"/>
    <n v="66"/>
    <n v="12738"/>
    <n v="0.83799999999999997"/>
    <n v="83.8"/>
    <n v="92.3"/>
    <n v="7.0000000000000007E-2"/>
    <n v="0.34"/>
    <n v="0"/>
    <n v="0.14599999999999999"/>
    <n v="14.6"/>
    <n v="32"/>
    <n v="23.3"/>
    <n v="192"/>
    <n v="0.12237132664292405"/>
    <n v="0.11557112681169279"/>
    <n v="76.095617529880471"/>
  </r>
  <r>
    <x v="5"/>
    <x v="22"/>
    <x v="2"/>
    <n v="2.14"/>
    <n v="2140"/>
    <n v="244.6"/>
    <n v="3.5"/>
    <n v="10.7"/>
    <n v="138.4"/>
    <x v="1"/>
    <x v="1"/>
    <n v="108"/>
    <n v="24624"/>
    <n v="0.89400000000000002"/>
    <n v="89.4"/>
    <n v="47.7"/>
    <n v="0.12"/>
    <n v="0.4"/>
    <n v="0"/>
    <n v="0.16500000000000001"/>
    <n v="16.5"/>
    <n v="35"/>
    <n v="22.9"/>
    <n v="470"/>
    <n v="0.12237132664292405"/>
    <n v="0.11557112681169279"/>
    <n v="611.42857142857144"/>
  </r>
  <r>
    <x v="6"/>
    <x v="22"/>
    <x v="2"/>
    <n v="2.4"/>
    <n v="2400"/>
    <n v="186"/>
    <n v="54.9"/>
    <n v="93"/>
    <n v="132.4"/>
    <x v="3"/>
    <x v="0"/>
    <n v="29"/>
    <n v="6728"/>
    <n v="0.61"/>
    <n v="61"/>
    <n v="48"/>
    <n v="0.2"/>
    <n v="0.46"/>
    <n v="0"/>
    <n v="0.20800000000000002"/>
    <n v="20.8"/>
    <n v="38"/>
    <n v="8"/>
    <n v="293"/>
    <n v="0.12237132664292405"/>
    <n v="0.11557112681169279"/>
    <n v="43.715846994535518"/>
  </r>
  <r>
    <x v="7"/>
    <x v="22"/>
    <x v="2"/>
    <n v="2.7"/>
    <n v="2700"/>
    <n v="171.9"/>
    <n v="57.2"/>
    <n v="123.5"/>
    <n v="109.5"/>
    <x v="1"/>
    <x v="0"/>
    <n v="98"/>
    <n v="10584"/>
    <n v="0.8859999999999999"/>
    <n v="88.6"/>
    <n v="34.9"/>
    <n v="0.28000000000000003"/>
    <n v="0.52"/>
    <n v="0"/>
    <n v="0.223"/>
    <n v="22.3"/>
    <n v="41"/>
    <n v="34.6"/>
    <n v="394"/>
    <n v="0.12237132664292405"/>
    <n v="0.11557112681169279"/>
    <n v="47.2027972027972"/>
  </r>
  <r>
    <x v="8"/>
    <x v="22"/>
    <x v="2"/>
    <n v="3.03"/>
    <n v="3030"/>
    <n v="347.1"/>
    <n v="38.200000000000003"/>
    <n v="106.2"/>
    <n v="66.900000000000006"/>
    <x v="1"/>
    <x v="1"/>
    <n v="11"/>
    <n v="836"/>
    <n v="0.57600000000000007"/>
    <n v="57.6"/>
    <n v="87.7"/>
    <n v="0.3"/>
    <n v="0.57999999999999996"/>
    <n v="0"/>
    <n v="0.23699999999999999"/>
    <n v="23.7"/>
    <n v="44"/>
    <n v="4.3"/>
    <n v="382"/>
    <n v="0.12237132664292405"/>
    <n v="0.11557112681169279"/>
    <n v="79.319371727748688"/>
  </r>
  <r>
    <x v="9"/>
    <x v="22"/>
    <x v="2"/>
    <n v="3.4"/>
    <n v="3400"/>
    <n v="366.1"/>
    <n v="19.899999999999999"/>
    <n v="48.7"/>
    <n v="125.2"/>
    <x v="3"/>
    <x v="0"/>
    <n v="52"/>
    <n v="14196"/>
    <n v="0.80200000000000005"/>
    <n v="80.2"/>
    <n v="77.3"/>
    <n v="0.36"/>
    <n v="0.64"/>
    <n v="0"/>
    <n v="0.28399999999999997"/>
    <n v="28.4"/>
    <n v="47"/>
    <n v="19.899999999999999"/>
    <n v="424"/>
    <n v="0.12237132664292405"/>
    <n v="0.11557112681169279"/>
    <n v="170.85427135678393"/>
  </r>
  <r>
    <x v="10"/>
    <x v="22"/>
    <x v="2"/>
    <n v="3.81"/>
    <n v="3810"/>
    <n v="423.8"/>
    <n v="19.8"/>
    <n v="42.5"/>
    <n v="38.5"/>
    <x v="3"/>
    <x v="0"/>
    <n v="31"/>
    <n v="1984"/>
    <n v="0.92400000000000004"/>
    <n v="92.4"/>
    <n v="47.4"/>
    <n v="0.46"/>
    <n v="0.96"/>
    <n v="0.26"/>
    <n v="0.25800000000000001"/>
    <n v="25.8"/>
    <n v="50"/>
    <n v="11.3"/>
    <n v="481"/>
    <n v="0.12237132664292405"/>
    <n v="0.11557112681169279"/>
    <n v="192.42424242424241"/>
  </r>
  <r>
    <x v="11"/>
    <x v="22"/>
    <x v="2"/>
    <n v="4.28"/>
    <n v="4280"/>
    <n v="237.8"/>
    <n v="16.8"/>
    <n v="43"/>
    <n v="50.6"/>
    <x v="0"/>
    <x v="2"/>
    <n v="86"/>
    <n v="25370"/>
    <n v="0.56200000000000006"/>
    <n v="56.2"/>
    <n v="98.7"/>
    <n v="0.57999999999999996"/>
    <n v="1.35"/>
    <n v="0.59"/>
    <n v="0.28600000000000003"/>
    <n v="28.6"/>
    <n v="53"/>
    <n v="22.8"/>
    <n v="319"/>
    <n v="0.12237132664292405"/>
    <n v="0.11557112681169279"/>
    <n v="254.76190476190476"/>
  </r>
  <r>
    <x v="12"/>
    <x v="22"/>
    <x v="2"/>
    <n v="4.8"/>
    <n v="4800"/>
    <n v="657"/>
    <n v="32.700000000000003"/>
    <n v="79.8"/>
    <n v="79.3"/>
    <x v="2"/>
    <x v="0"/>
    <n v="26"/>
    <n v="2184"/>
    <n v="0.80299999999999994"/>
    <n v="80.3"/>
    <n v="35.299999999999997"/>
    <n v="0.53"/>
    <n v="0.82"/>
    <n v="0"/>
    <n v="0.27200000000000002"/>
    <n v="27.2"/>
    <n v="56"/>
    <n v="9.6999999999999993"/>
    <n v="345"/>
    <n v="0.12237132664292405"/>
    <n v="0.11557112681169279"/>
    <n v="146.78899082568807"/>
  </r>
  <r>
    <x v="13"/>
    <x v="22"/>
    <x v="2"/>
    <n v="5.38"/>
    <n v="5380"/>
    <n v="545.29999999999995"/>
    <n v="20.6"/>
    <n v="55.5"/>
    <n v="149.5"/>
    <x v="3"/>
    <x v="2"/>
    <n v="73"/>
    <n v="8614"/>
    <n v="0.75700000000000001"/>
    <n v="75.7"/>
    <n v="60.9"/>
    <n v="0.78"/>
    <n v="0.88"/>
    <n v="0"/>
    <n v="0.3"/>
    <n v="30"/>
    <n v="59"/>
    <n v="27.8"/>
    <n v="435"/>
    <n v="0.12237132664292405"/>
    <n v="0.11557112681169279"/>
    <n v="261.1650485436893"/>
  </r>
  <r>
    <x v="14"/>
    <x v="22"/>
    <x v="2"/>
    <n v="6.04"/>
    <n v="6040"/>
    <n v="374.8"/>
    <n v="5.9"/>
    <n v="17.5"/>
    <n v="141.5"/>
    <x v="1"/>
    <x v="2"/>
    <n v="101"/>
    <n v="5050"/>
    <n v="0.65700000000000003"/>
    <n v="65.7"/>
    <n v="53.1"/>
    <n v="0.78"/>
    <n v="0.94"/>
    <n v="0"/>
    <n v="0.34399999999999997"/>
    <n v="34.4"/>
    <n v="62"/>
    <n v="18.2"/>
    <n v="41"/>
    <n v="0.12237132664292405"/>
    <n v="0.11557112681169279"/>
    <n v="1023.728813559322"/>
  </r>
  <r>
    <x v="15"/>
    <x v="22"/>
    <x v="2"/>
    <n v="6.78"/>
    <n v="6780"/>
    <n v="846.9"/>
    <n v="55.2"/>
    <n v="94.8"/>
    <n v="57.9"/>
    <x v="4"/>
    <x v="2"/>
    <n v="118"/>
    <n v="18290"/>
    <n v="0.53700000000000003"/>
    <n v="53.7"/>
    <n v="58.9"/>
    <n v="0.85"/>
    <n v="1"/>
    <n v="0"/>
    <n v="0.36599999999999999"/>
    <n v="36.6"/>
    <n v="65"/>
    <n v="25.8"/>
    <n v="122"/>
    <n v="0.12237132664292405"/>
    <n v="0.11557112681169279"/>
    <n v="122.82608695652173"/>
  </r>
  <r>
    <x v="0"/>
    <x v="23"/>
    <x v="1"/>
    <n v="7.22"/>
    <n v="7220"/>
    <n v="986.1"/>
    <n v="2.6"/>
    <n v="7.9"/>
    <n v="85.3"/>
    <x v="2"/>
    <x v="1"/>
    <n v="71"/>
    <n v="8520"/>
    <n v="0.84"/>
    <n v="84"/>
    <n v="43.6"/>
    <n v="0.16"/>
    <n v="0.1"/>
    <n v="0"/>
    <n v="0.10099999999999999"/>
    <n v="10.1"/>
    <n v="20"/>
    <n v="19.2"/>
    <n v="202"/>
    <n v="0.18510182633206851"/>
    <n v="0.17654474695909106"/>
    <n v="2776.9230769230767"/>
  </r>
  <r>
    <x v="1"/>
    <x v="23"/>
    <x v="1"/>
    <n v="8.5500000000000007"/>
    <n v="8550"/>
    <n v="1166"/>
    <n v="17.5"/>
    <n v="44.9"/>
    <n v="133.1"/>
    <x v="3"/>
    <x v="0"/>
    <n v="51"/>
    <n v="6375"/>
    <n v="0.65200000000000002"/>
    <n v="65.2"/>
    <n v="87.1"/>
    <n v="0.09"/>
    <n v="0.16"/>
    <n v="0"/>
    <n v="0.13500000000000001"/>
    <n v="13.5"/>
    <n v="23"/>
    <n v="19.8"/>
    <n v="431"/>
    <n v="0.18510182633206851"/>
    <n v="0.17654474695909106"/>
    <n v="488.57142857142856"/>
  </r>
  <r>
    <x v="2"/>
    <x v="23"/>
    <x v="1"/>
    <n v="10.14"/>
    <n v="10140"/>
    <n v="694.4"/>
    <n v="26.8"/>
    <n v="43.5"/>
    <n v="56.9"/>
    <x v="3"/>
    <x v="0"/>
    <n v="66"/>
    <n v="5214"/>
    <n v="0.72199999999999998"/>
    <n v="72.2"/>
    <n v="49.8"/>
    <n v="0.11"/>
    <n v="0.22"/>
    <n v="0"/>
    <n v="0.111"/>
    <n v="11.1"/>
    <n v="26"/>
    <n v="17.100000000000001"/>
    <n v="107"/>
    <n v="0.18510182633206851"/>
    <n v="0.17654474695909106"/>
    <n v="378.35820895522386"/>
  </r>
  <r>
    <x v="3"/>
    <x v="23"/>
    <x v="1"/>
    <n v="12.02"/>
    <n v="12020"/>
    <n v="1452.5"/>
    <n v="59.6"/>
    <n v="127"/>
    <n v="110.9"/>
    <x v="3"/>
    <x v="1"/>
    <n v="83"/>
    <n v="13197"/>
    <n v="0.55600000000000005"/>
    <n v="55.6"/>
    <n v="30.3"/>
    <n v="0.08"/>
    <n v="0.28000000000000003"/>
    <n v="0"/>
    <n v="0.16899999999999998"/>
    <n v="16.899999999999999"/>
    <n v="29"/>
    <n v="31.5"/>
    <n v="300"/>
    <n v="0.18510182633206851"/>
    <n v="0.17654474695909106"/>
    <n v="201.6778523489933"/>
  </r>
  <r>
    <x v="4"/>
    <x v="23"/>
    <x v="1"/>
    <n v="14.24"/>
    <n v="14240"/>
    <n v="1762.7"/>
    <n v="10.1"/>
    <n v="23.9"/>
    <n v="87.9"/>
    <x v="1"/>
    <x v="0"/>
    <n v="30"/>
    <n v="3870"/>
    <n v="0.72599999999999998"/>
    <n v="72.599999999999994"/>
    <n v="26.1"/>
    <n v="0.1"/>
    <n v="0.34"/>
    <n v="0"/>
    <n v="0.14099999999999999"/>
    <n v="14.1"/>
    <n v="32"/>
    <n v="5.4"/>
    <n v="196"/>
    <n v="0.18510182633206851"/>
    <n v="0.17654474695909106"/>
    <n v="1409.90099009901"/>
  </r>
  <r>
    <x v="5"/>
    <x v="23"/>
    <x v="1"/>
    <n v="16.88"/>
    <n v="16880"/>
    <n v="1323.4"/>
    <n v="18.8"/>
    <n v="42.3"/>
    <n v="77.2"/>
    <x v="3"/>
    <x v="0"/>
    <n v="82"/>
    <n v="5330"/>
    <n v="0.57499999999999996"/>
    <n v="57.5"/>
    <n v="48.3"/>
    <n v="0.09"/>
    <n v="0.4"/>
    <n v="0"/>
    <n v="0.188"/>
    <n v="18.8"/>
    <n v="35"/>
    <n v="15.6"/>
    <n v="494"/>
    <n v="0.18510182633206851"/>
    <n v="0.17654474695909106"/>
    <n v="897.87234042553189"/>
  </r>
  <r>
    <x v="6"/>
    <x v="23"/>
    <x v="1"/>
    <n v="20"/>
    <n v="20000"/>
    <n v="1822.4"/>
    <n v="40.5"/>
    <n v="70.3"/>
    <n v="78.2"/>
    <x v="4"/>
    <x v="1"/>
    <n v="87"/>
    <n v="16965"/>
    <n v="0.92799999999999994"/>
    <n v="92.8"/>
    <n v="40.700000000000003"/>
    <n v="0.2"/>
    <n v="0.46"/>
    <n v="0"/>
    <n v="0.22"/>
    <n v="22"/>
    <n v="38"/>
    <n v="17.8"/>
    <n v="344"/>
    <n v="0.18510182633206851"/>
    <n v="0.17654474695909106"/>
    <n v="493.82716049382714"/>
  </r>
  <r>
    <x v="7"/>
    <x v="23"/>
    <x v="1"/>
    <n v="23.7"/>
    <n v="23700"/>
    <n v="1287.2"/>
    <n v="12.4"/>
    <n v="28.3"/>
    <n v="143.69999999999999"/>
    <x v="4"/>
    <x v="1"/>
    <n v="65"/>
    <n v="11635"/>
    <n v="0.77900000000000003"/>
    <n v="77.900000000000006"/>
    <n v="60.8"/>
    <n v="0.25"/>
    <n v="0.52"/>
    <n v="0"/>
    <n v="0.22500000000000001"/>
    <n v="22.5"/>
    <n v="41"/>
    <n v="22.2"/>
    <n v="422"/>
    <n v="0.18510182633206851"/>
    <n v="0.17654474695909106"/>
    <n v="1911.2903225806451"/>
  </r>
  <r>
    <x v="8"/>
    <x v="23"/>
    <x v="1"/>
    <n v="28.09"/>
    <n v="28090"/>
    <n v="1943.8"/>
    <n v="10.5"/>
    <n v="35.299999999999997"/>
    <n v="140.1"/>
    <x v="2"/>
    <x v="1"/>
    <n v="7"/>
    <n v="749"/>
    <n v="0.53100000000000003"/>
    <n v="53.1"/>
    <n v="50.1"/>
    <n v="0.4"/>
    <n v="0.57999999999999996"/>
    <n v="0"/>
    <n v="0.20399999999999999"/>
    <n v="20.399999999999999"/>
    <n v="44"/>
    <n v="2.1"/>
    <n v="279"/>
    <n v="0.18510182633206851"/>
    <n v="0.17654474695909106"/>
    <n v="2675.2380952380954"/>
  </r>
  <r>
    <x v="9"/>
    <x v="23"/>
    <x v="1"/>
    <n v="33.29"/>
    <n v="33290"/>
    <n v="3725.6"/>
    <n v="49.8"/>
    <n v="143.4"/>
    <n v="96.2"/>
    <x v="3"/>
    <x v="1"/>
    <n v="64"/>
    <n v="16512"/>
    <n v="0.79599999999999993"/>
    <n v="79.599999999999994"/>
    <n v="67.3"/>
    <n v="0.45"/>
    <n v="0.64"/>
    <n v="0"/>
    <n v="0.254"/>
    <n v="25.4"/>
    <n v="47"/>
    <n v="16.399999999999999"/>
    <n v="213"/>
    <n v="0.18510182633206851"/>
    <n v="0.17654474695909106"/>
    <n v="668.47389558232931"/>
  </r>
  <r>
    <x v="10"/>
    <x v="23"/>
    <x v="1"/>
    <n v="39.450000000000003"/>
    <n v="39450"/>
    <n v="5223.3999999999996"/>
    <n v="13.8"/>
    <n v="33.700000000000003"/>
    <n v="126.1"/>
    <x v="0"/>
    <x v="1"/>
    <n v="6"/>
    <n v="1056"/>
    <n v="0.59"/>
    <n v="59"/>
    <n v="55.9"/>
    <n v="0.45"/>
    <n v="1.1399999999999999"/>
    <n v="0.44"/>
    <n v="0.29499999999999998"/>
    <n v="29.5"/>
    <n v="50"/>
    <n v="1.1000000000000001"/>
    <n v="456"/>
    <n v="0.18510182633206851"/>
    <n v="0.17654474695909106"/>
    <n v="2858.695652173913"/>
  </r>
  <r>
    <x v="11"/>
    <x v="23"/>
    <x v="1"/>
    <n v="46.75"/>
    <n v="46750"/>
    <n v="4022.8"/>
    <n v="7.1"/>
    <n v="13.4"/>
    <n v="95.5"/>
    <x v="0"/>
    <x v="2"/>
    <n v="114"/>
    <n v="19266"/>
    <n v="0.503"/>
    <n v="50.3"/>
    <n v="61.3"/>
    <n v="0.6"/>
    <n v="1.19"/>
    <n v="0.43"/>
    <n v="0.29699999999999999"/>
    <n v="29.7"/>
    <n v="53"/>
    <n v="32.6"/>
    <n v="327"/>
    <n v="0.18510182633206851"/>
    <n v="0.17654474695909106"/>
    <n v="6584.5070422535218"/>
  </r>
  <r>
    <x v="12"/>
    <x v="23"/>
    <x v="1"/>
    <n v="55.41"/>
    <n v="55410"/>
    <n v="3388.2"/>
    <n v="35.1"/>
    <n v="93.4"/>
    <n v="115.8"/>
    <x v="0"/>
    <x v="0"/>
    <n v="89"/>
    <n v="17622"/>
    <n v="0.74099999999999999"/>
    <n v="74.099999999999994"/>
    <n v="39.700000000000003"/>
    <n v="0.63"/>
    <n v="0.82"/>
    <n v="0"/>
    <n v="0.32100000000000001"/>
    <n v="32.1"/>
    <n v="56"/>
    <n v="23.2"/>
    <n v="221"/>
    <n v="0.18510182633206851"/>
    <n v="0.17654474695909106"/>
    <n v="1578.6324786324785"/>
  </r>
  <r>
    <x v="13"/>
    <x v="23"/>
    <x v="1"/>
    <n v="65.67"/>
    <n v="65670"/>
    <n v="5726.7"/>
    <n v="46.1"/>
    <n v="100.3"/>
    <n v="144.19999999999999"/>
    <x v="3"/>
    <x v="2"/>
    <n v="24"/>
    <n v="4056"/>
    <n v="0.6409999999999999"/>
    <n v="64.099999999999994"/>
    <n v="62.4"/>
    <n v="0.73"/>
    <n v="0.88"/>
    <n v="0"/>
    <n v="0.32899999999999996"/>
    <n v="32.9"/>
    <n v="59"/>
    <n v="7.2"/>
    <n v="485"/>
    <n v="0.18510182633206851"/>
    <n v="0.17654474695909106"/>
    <n v="1424.5119305856833"/>
  </r>
  <r>
    <x v="14"/>
    <x v="23"/>
    <x v="1"/>
    <n v="77.819999999999993"/>
    <n v="77820"/>
    <n v="11044.8"/>
    <n v="26.6"/>
    <n v="58.1"/>
    <n v="145.4"/>
    <x v="2"/>
    <x v="2"/>
    <n v="86"/>
    <n v="23478"/>
    <n v="0.90900000000000003"/>
    <n v="90.9"/>
    <n v="67.7"/>
    <n v="0.86"/>
    <n v="0.94"/>
    <n v="0"/>
    <n v="0.317"/>
    <n v="31.7"/>
    <n v="62"/>
    <n v="23.4"/>
    <n v="426"/>
    <n v="0.18510182633206851"/>
    <n v="0.17654474695909106"/>
    <n v="2925.5639097744361"/>
  </r>
  <r>
    <x v="15"/>
    <x v="23"/>
    <x v="1"/>
    <n v="92.23"/>
    <n v="92230"/>
    <n v="11299.2"/>
    <n v="48.2"/>
    <n v="152.5"/>
    <n v="148.30000000000001"/>
    <x v="1"/>
    <x v="2"/>
    <n v="104"/>
    <n v="17264"/>
    <n v="0.83499999999999996"/>
    <n v="83.5"/>
    <n v="58.4"/>
    <n v="0.81"/>
    <n v="1"/>
    <n v="0"/>
    <n v="0.33700000000000002"/>
    <n v="33.700000000000003"/>
    <n v="65"/>
    <n v="31.2"/>
    <n v="34"/>
    <n v="0.18510182633206851"/>
    <n v="0.17654474695909106"/>
    <n v="1913.485477178423"/>
  </r>
  <r>
    <x v="0"/>
    <x v="24"/>
    <x v="1"/>
    <n v="6.63"/>
    <n v="6630"/>
    <n v="567.9"/>
    <n v="38.799999999999997"/>
    <n v="72.7"/>
    <n v="119.9"/>
    <x v="4"/>
    <x v="0"/>
    <n v="47"/>
    <n v="9541"/>
    <n v="0.51200000000000001"/>
    <n v="51.2"/>
    <n v="53.5"/>
    <n v="0.18"/>
    <n v="0.1"/>
    <n v="0"/>
    <n v="9.4E-2"/>
    <n v="9.4"/>
    <n v="20"/>
    <n v="9.4"/>
    <n v="460"/>
    <n v="0.18470611748339616"/>
    <n v="0.20328326597088675"/>
    <n v="170.87628865979383"/>
  </r>
  <r>
    <x v="1"/>
    <x v="24"/>
    <x v="1"/>
    <n v="7.85"/>
    <n v="7850"/>
    <n v="765.5"/>
    <n v="54.1"/>
    <n v="137.9"/>
    <n v="114.9"/>
    <x v="2"/>
    <x v="2"/>
    <n v="92"/>
    <n v="16100"/>
    <n v="0.59299999999999997"/>
    <n v="59.3"/>
    <n v="25.1"/>
    <n v="0.1"/>
    <n v="0.16"/>
    <n v="0"/>
    <n v="0.128"/>
    <n v="12.8"/>
    <n v="23"/>
    <n v="24.1"/>
    <n v="75"/>
    <n v="0.18470611748339616"/>
    <n v="0.20328326597088675"/>
    <n v="145.10166358595194"/>
  </r>
  <r>
    <x v="2"/>
    <x v="24"/>
    <x v="1"/>
    <n v="9.3000000000000007"/>
    <n v="9300"/>
    <n v="775.4"/>
    <n v="24.5"/>
    <n v="43.5"/>
    <n v="118.6"/>
    <x v="1"/>
    <x v="0"/>
    <n v="24"/>
    <n v="5664"/>
    <n v="0.88500000000000001"/>
    <n v="88.5"/>
    <n v="56.4"/>
    <n v="0.1"/>
    <n v="0.22"/>
    <n v="0"/>
    <n v="0.13100000000000001"/>
    <n v="13.1"/>
    <n v="26"/>
    <n v="9.1999999999999993"/>
    <n v="348"/>
    <n v="0.18470611748339616"/>
    <n v="0.20328326597088675"/>
    <n v="379.59183673469386"/>
  </r>
  <r>
    <x v="3"/>
    <x v="24"/>
    <x v="1"/>
    <n v="11.02"/>
    <n v="11020"/>
    <n v="626.4"/>
    <n v="54"/>
    <n v="94"/>
    <n v="69.3"/>
    <x v="3"/>
    <x v="0"/>
    <n v="98"/>
    <n v="16268"/>
    <n v="0.59299999999999997"/>
    <n v="59.3"/>
    <n v="88.9"/>
    <n v="0.16"/>
    <n v="0.28000000000000003"/>
    <n v="0"/>
    <n v="0.12300000000000001"/>
    <n v="12.3"/>
    <n v="29"/>
    <n v="24.3"/>
    <n v="366"/>
    <n v="0.18470611748339616"/>
    <n v="0.20328326597088675"/>
    <n v="204.07407407407408"/>
  </r>
  <r>
    <x v="4"/>
    <x v="24"/>
    <x v="1"/>
    <n v="13.06"/>
    <n v="13060"/>
    <n v="890.1"/>
    <n v="27"/>
    <n v="49.4"/>
    <n v="114.8"/>
    <x v="0"/>
    <x v="0"/>
    <n v="41"/>
    <n v="2378"/>
    <n v="0.59499999999999997"/>
    <n v="59.5"/>
    <n v="28.1"/>
    <n v="0.13"/>
    <n v="0.34"/>
    <n v="0"/>
    <n v="0.17499999999999999"/>
    <n v="17.5"/>
    <n v="32"/>
    <n v="12.7"/>
    <n v="158"/>
    <n v="0.18470611748339616"/>
    <n v="0.20328326597088675"/>
    <n v="483.7037037037037"/>
  </r>
  <r>
    <x v="5"/>
    <x v="24"/>
    <x v="1"/>
    <n v="15.47"/>
    <n v="15470"/>
    <n v="2209.6"/>
    <n v="44.8"/>
    <n v="94.7"/>
    <n v="61.8"/>
    <x v="2"/>
    <x v="2"/>
    <n v="14"/>
    <n v="2646"/>
    <n v="0.87"/>
    <n v="87"/>
    <n v="32.6"/>
    <n v="0.13"/>
    <n v="0.4"/>
    <n v="0"/>
    <n v="0.2"/>
    <n v="20"/>
    <n v="35"/>
    <n v="2.8"/>
    <n v="460"/>
    <n v="0.18470611748339616"/>
    <n v="0.20328326597088675"/>
    <n v="345.3125"/>
  </r>
  <r>
    <x v="6"/>
    <x v="24"/>
    <x v="1"/>
    <n v="18.32"/>
    <n v="18320"/>
    <n v="1950.5"/>
    <n v="36.799999999999997"/>
    <n v="67.5"/>
    <n v="75.599999999999994"/>
    <x v="0"/>
    <x v="1"/>
    <n v="90"/>
    <n v="15300"/>
    <n v="0.91500000000000004"/>
    <n v="91.5"/>
    <n v="82.2"/>
    <n v="0.2"/>
    <n v="0.46"/>
    <n v="0"/>
    <n v="0.16200000000000001"/>
    <n v="16.2"/>
    <n v="38"/>
    <n v="35.299999999999997"/>
    <n v="363"/>
    <n v="0.18470611748339616"/>
    <n v="0.20328326597088675"/>
    <n v="497.82608695652181"/>
  </r>
  <r>
    <x v="7"/>
    <x v="24"/>
    <x v="1"/>
    <n v="21.71"/>
    <n v="21710"/>
    <n v="2143.1999999999998"/>
    <n v="3.4"/>
    <n v="6.9"/>
    <n v="78.900000000000006"/>
    <x v="2"/>
    <x v="2"/>
    <n v="15"/>
    <n v="2595"/>
    <n v="0.86199999999999999"/>
    <n v="86.2"/>
    <n v="38.9"/>
    <n v="0.23"/>
    <n v="0.52"/>
    <n v="0"/>
    <n v="0.19600000000000001"/>
    <n v="19.600000000000001"/>
    <n v="41"/>
    <n v="4.2"/>
    <n v="486"/>
    <n v="0.18470611748339616"/>
    <n v="0.20328326597088675"/>
    <n v="6385.2941176470586"/>
  </r>
  <r>
    <x v="8"/>
    <x v="24"/>
    <x v="1"/>
    <n v="25.72"/>
    <n v="25720"/>
    <n v="3487.8"/>
    <n v="45.5"/>
    <n v="141.5"/>
    <n v="46.4"/>
    <x v="4"/>
    <x v="2"/>
    <n v="98"/>
    <n v="21168"/>
    <n v="0.82599999999999996"/>
    <n v="82.6"/>
    <n v="87.7"/>
    <n v="0.35"/>
    <n v="0.57999999999999996"/>
    <n v="0"/>
    <n v="0.185"/>
    <n v="18.5"/>
    <n v="44"/>
    <n v="36.6"/>
    <n v="198"/>
    <n v="0.18470611748339616"/>
    <n v="0.20328326597088675"/>
    <n v="565.27472527472526"/>
  </r>
  <r>
    <x v="9"/>
    <x v="24"/>
    <x v="1"/>
    <n v="30.47"/>
    <n v="30470"/>
    <n v="4328.8"/>
    <n v="2.7"/>
    <n v="7"/>
    <n v="118.9"/>
    <x v="0"/>
    <x v="0"/>
    <n v="28"/>
    <n v="2800"/>
    <n v="0.77599999999999991"/>
    <n v="77.599999999999994"/>
    <n v="42.7"/>
    <n v="0.32"/>
    <n v="0.64"/>
    <n v="0"/>
    <n v="0.24399999999999999"/>
    <n v="24.4"/>
    <n v="47"/>
    <n v="4.8"/>
    <n v="481"/>
    <n v="0.18470611748339616"/>
    <n v="0.20328326597088675"/>
    <n v="11285.185185185184"/>
  </r>
  <r>
    <x v="10"/>
    <x v="24"/>
    <x v="1"/>
    <n v="36.1"/>
    <n v="36100"/>
    <n v="3454.4"/>
    <n v="51"/>
    <n v="88.2"/>
    <n v="60.6"/>
    <x v="2"/>
    <x v="2"/>
    <n v="56"/>
    <n v="12264"/>
    <n v="0.55399999999999994"/>
    <n v="55.4"/>
    <n v="27.7"/>
    <n v="0.54"/>
    <n v="1.0900000000000001"/>
    <n v="0.39"/>
    <n v="0.28300000000000003"/>
    <n v="28.3"/>
    <n v="50"/>
    <n v="9.3000000000000007"/>
    <n v="189"/>
    <n v="0.18470611748339616"/>
    <n v="0.20328326597088675"/>
    <n v="707.84313725490199"/>
  </r>
  <r>
    <x v="11"/>
    <x v="24"/>
    <x v="1"/>
    <n v="42.77"/>
    <n v="42770"/>
    <n v="4480.5"/>
    <n v="56.7"/>
    <n v="113.6"/>
    <n v="42.1"/>
    <x v="3"/>
    <x v="0"/>
    <n v="105"/>
    <n v="28875"/>
    <n v="0.65599999999999992"/>
    <n v="65.599999999999994"/>
    <n v="74"/>
    <n v="0.65"/>
    <n v="1.1299999999999999"/>
    <n v="0.37"/>
    <n v="0.26800000000000002"/>
    <n v="26.8"/>
    <n v="53"/>
    <n v="31.9"/>
    <n v="263"/>
    <n v="0.18470611748339616"/>
    <n v="0.20328326597088675"/>
    <n v="754.3209876543209"/>
  </r>
  <r>
    <x v="12"/>
    <x v="24"/>
    <x v="1"/>
    <n v="50.68"/>
    <n v="50680"/>
    <n v="4392.5"/>
    <n v="7.8"/>
    <n v="23.6"/>
    <n v="146"/>
    <x v="0"/>
    <x v="2"/>
    <n v="62"/>
    <n v="16554"/>
    <n v="0.628"/>
    <n v="62.8"/>
    <n v="72.3"/>
    <n v="0.63"/>
    <n v="0.82"/>
    <n v="0"/>
    <n v="0.29399999999999998"/>
    <n v="29.4"/>
    <n v="56"/>
    <n v="22.7"/>
    <n v="238"/>
    <n v="0.18470611748339616"/>
    <n v="0.20328326597088675"/>
    <n v="6497.4358974358975"/>
  </r>
  <r>
    <x v="13"/>
    <x v="24"/>
    <x v="1"/>
    <n v="60.04"/>
    <n v="60040"/>
    <n v="4594.1000000000004"/>
    <n v="11.8"/>
    <n v="20"/>
    <n v="80.3"/>
    <x v="0"/>
    <x v="0"/>
    <n v="12"/>
    <n v="804"/>
    <n v="0.746"/>
    <n v="74.599999999999994"/>
    <n v="43.7"/>
    <n v="0.69"/>
    <n v="0.88"/>
    <n v="0"/>
    <n v="0.30399999999999999"/>
    <n v="30.4"/>
    <n v="59"/>
    <n v="4.5"/>
    <n v="294"/>
    <n v="0.18470611748339616"/>
    <n v="0.20328326597088675"/>
    <n v="5088.1355932203387"/>
  </r>
  <r>
    <x v="14"/>
    <x v="24"/>
    <x v="1"/>
    <n v="71.13"/>
    <n v="71130"/>
    <n v="4284.6000000000004"/>
    <n v="45.6"/>
    <n v="151.1"/>
    <n v="119.2"/>
    <x v="1"/>
    <x v="0"/>
    <n v="86"/>
    <n v="10836"/>
    <n v="0.505"/>
    <n v="50.5"/>
    <n v="54.6"/>
    <n v="0.82"/>
    <n v="0.94"/>
    <n v="0"/>
    <n v="0.30299999999999999"/>
    <n v="30.3"/>
    <n v="62"/>
    <n v="31.4"/>
    <n v="483"/>
    <n v="0.18470611748339616"/>
    <n v="0.20328326597088675"/>
    <n v="1559.8684210526314"/>
  </r>
  <r>
    <x v="15"/>
    <x v="24"/>
    <x v="1"/>
    <n v="84.27"/>
    <n v="84270"/>
    <n v="9115.7000000000007"/>
    <n v="46.4"/>
    <n v="107.4"/>
    <n v="135.6"/>
    <x v="0"/>
    <x v="2"/>
    <n v="9"/>
    <n v="2268"/>
    <n v="0.55899999999999994"/>
    <n v="55.9"/>
    <n v="48.2"/>
    <n v="0.85"/>
    <n v="1"/>
    <n v="0"/>
    <n v="0.35399999999999998"/>
    <n v="35.4"/>
    <n v="65"/>
    <n v="3.4"/>
    <n v="371"/>
    <n v="0.18470611748339616"/>
    <n v="0.20328326597088675"/>
    <n v="1816.16379310344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DBAA-CD14-4659-B1D2-3EAB3C1A8FCA}" name="tbl_participação_fem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9">
  <location ref="E87:F104" firstHeaderRow="1" firstDataRow="1" firstDataCol="1"/>
  <pivotFields count="27"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Média de Female_Gamer_Percent" fld="19" subtotal="average" baseField="0" baseItem="0" numFmtId="10"/>
  </dataFields>
  <formats count="3">
    <format dxfId="32">
      <pivotArea outline="0" fieldPosition="0">
        <references count="1">
          <reference field="0" count="6" selected="0">
            <x v="0"/>
            <x v="1"/>
            <x v="2"/>
            <x v="3"/>
            <x v="4"/>
            <x v="5"/>
          </reference>
        </references>
      </pivotArea>
    </format>
    <format dxfId="33">
      <pivotArea outline="0" collapsedLevelsAreSubtotals="1" fieldPosition="0"/>
    </format>
    <format dxfId="34">
      <pivotArea dataOnly="0" labelOnly="1" outline="0" axis="axisValues" fieldPosition="0"/>
    </format>
  </formats>
  <chartFormats count="8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F0867-254D-4386-8FAC-8A78FA814719}" name="tbl_cagr_todos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H3:J11" firstHeaderRow="0" firstDataRow="1" firstDataCol="1"/>
  <pivotFields count="27">
    <pivotField compact="0" outline="0" showAll="0"/>
    <pivotField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axis="axisRow"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dataField="1" compact="0" numFmtId="2" outline="0" showAll="0"/>
    <pivotField compact="0" numFmtId="164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AGR Gaming" fld="24" subtotal="average" baseField="0" baseItem="0"/>
    <dataField name="CAGR Esports" fld="25" subtotal="average" baseField="0" baseItem="0" numFmtId="2"/>
  </dataFields>
  <formats count="2">
    <format dxfId="30">
      <pivotArea outline="0" fieldPosition="0">
        <references count="1">
          <reference field="2" count="0" selected="0"/>
        </references>
      </pivotArea>
    </format>
    <format dxfId="31">
      <pivotArea grandRow="1" outline="0" collapsedLevelsAreSubtotals="1" fieldPosition="0"/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1146F-B26C-472E-A4CA-DBA57FEFC1F8}" name="tbl_gasto_jogador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B87:C113" firstHeaderRow="1" firstDataRow="1" firstDataCol="1"/>
  <pivotFields count="27">
    <pivotField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compact="0" numFmtId="1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édia de Avg_Spending_USD" fld="8" subtotal="average" baseField="0" baseItem="0"/>
  </dataFields>
  <formats count="2">
    <format dxfId="28">
      <pivotArea outline="0" collapsedLevelsAreSubtotals="1" fieldPosition="0"/>
    </format>
    <format dxfId="29">
      <pivotArea dataOnly="0" labelOnly="1" outline="0" axis="axisValues" fieldPosition="0"/>
    </format>
  </formats>
  <chartFormats count="1">
    <chartFormat chart="16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D277E-3204-4AD6-923F-C110C4A8BC55}" name="tbl-cagr-esports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31:L65" firstHeaderRow="1" firstDataRow="2" firstDataCol="2"/>
  <pivotFields count="27">
    <pivotField axis="axisCol" compact="0" outline="0" showAll="0">
      <items count="17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axis="axisRow"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axis="axisRow"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</pivotFields>
  <rowFields count="2">
    <field x="2"/>
    <field x="1"/>
  </rowFields>
  <rowItems count="33">
    <i>
      <x/>
      <x v="17"/>
    </i>
    <i t="default">
      <x/>
    </i>
    <i>
      <x v="1"/>
      <x v="4"/>
    </i>
    <i r="1">
      <x v="7"/>
    </i>
    <i r="1">
      <x v="8"/>
    </i>
    <i r="1">
      <x v="10"/>
    </i>
    <i r="1">
      <x v="16"/>
    </i>
    <i r="1">
      <x v="18"/>
    </i>
    <i r="1">
      <x v="21"/>
    </i>
    <i t="default">
      <x v="1"/>
    </i>
    <i>
      <x v="2"/>
      <x v="5"/>
    </i>
    <i r="1">
      <x v="6"/>
    </i>
    <i r="1">
      <x v="9"/>
    </i>
    <i r="1">
      <x v="12"/>
    </i>
    <i r="1">
      <x v="13"/>
    </i>
    <i r="1">
      <x v="14"/>
    </i>
    <i r="1">
      <x v="19"/>
    </i>
    <i r="1">
      <x v="20"/>
    </i>
    <i r="1">
      <x v="23"/>
    </i>
    <i t="default">
      <x v="2"/>
    </i>
    <i>
      <x v="3"/>
      <x v="15"/>
    </i>
    <i r="1">
      <x v="22"/>
    </i>
    <i t="default">
      <x v="3"/>
    </i>
    <i>
      <x v="4"/>
      <x v="3"/>
    </i>
    <i r="1">
      <x v="11"/>
    </i>
    <i r="1">
      <x v="24"/>
    </i>
    <i t="default">
      <x v="4"/>
    </i>
    <i>
      <x v="5"/>
      <x v="1"/>
    </i>
    <i t="default">
      <x v="5"/>
    </i>
    <i>
      <x v="6"/>
      <x/>
    </i>
    <i r="1">
      <x v="2"/>
    </i>
    <i t="default">
      <x v="6"/>
    </i>
    <i t="grand">
      <x/>
    </i>
  </rowItems>
  <colFields count="1">
    <field x="0"/>
  </colFields>
  <colItems count="3">
    <i>
      <x/>
    </i>
    <i>
      <x v="15"/>
    </i>
    <i t="grand">
      <x/>
    </i>
  </colItems>
  <dataFields count="1">
    <dataField name="Soma de Esports_Revenue_MillionUSD" fld="5" baseField="0" baseItem="0" numFmtId="164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48431-255A-488F-ADA8-F181088B4ED9}" name="tbl_genero_regao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B77:J84" firstHeaderRow="1" firstDataRow="2" firstDataCol="1"/>
  <pivotFields count="27">
    <pivotField compact="0" outline="0" showAll="0"/>
    <pivotField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axis="axisCol"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Gaming_Revenue_MillionUSD" fld="4" baseField="0" baseItem="0"/>
  </dataFields>
  <formats count="1">
    <format dxfId="26">
      <pivotArea outline="0" collapsedLevelsAreSubtotals="1" fieldPosition="0"/>
    </format>
  </formats>
  <chartFormats count="28"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2F4C3-9775-44BD-9E54-356F2123B82C}" name="tbl-cagr-gaming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31:F65" firstHeaderRow="1" firstDataRow="2" firstDataCol="2"/>
  <pivotFields count="27">
    <pivotField axis="axisCol" compact="0" outline="0" showAll="0">
      <items count="17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t="default"/>
      </items>
    </pivotField>
    <pivotField axis="axisRow" compact="0" outline="0" multipleItemSelectionAllowed="1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axis="axisRow"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</pivotFields>
  <rowFields count="2">
    <field x="2"/>
    <field x="1"/>
  </rowFields>
  <rowItems count="33">
    <i>
      <x/>
      <x v="17"/>
    </i>
    <i t="default">
      <x/>
    </i>
    <i>
      <x v="1"/>
      <x v="4"/>
    </i>
    <i r="1">
      <x v="7"/>
    </i>
    <i r="1">
      <x v="8"/>
    </i>
    <i r="1">
      <x v="10"/>
    </i>
    <i r="1">
      <x v="16"/>
    </i>
    <i r="1">
      <x v="18"/>
    </i>
    <i r="1">
      <x v="21"/>
    </i>
    <i t="default">
      <x v="1"/>
    </i>
    <i>
      <x v="2"/>
      <x v="5"/>
    </i>
    <i r="1">
      <x v="6"/>
    </i>
    <i r="1">
      <x v="9"/>
    </i>
    <i r="1">
      <x v="12"/>
    </i>
    <i r="1">
      <x v="13"/>
    </i>
    <i r="1">
      <x v="14"/>
    </i>
    <i r="1">
      <x v="19"/>
    </i>
    <i r="1">
      <x v="20"/>
    </i>
    <i r="1">
      <x v="23"/>
    </i>
    <i t="default">
      <x v="2"/>
    </i>
    <i>
      <x v="3"/>
      <x v="15"/>
    </i>
    <i r="1">
      <x v="22"/>
    </i>
    <i t="default">
      <x v="3"/>
    </i>
    <i>
      <x v="4"/>
      <x v="3"/>
    </i>
    <i r="1">
      <x v="11"/>
    </i>
    <i r="1">
      <x v="24"/>
    </i>
    <i t="default">
      <x v="4"/>
    </i>
    <i>
      <x v="5"/>
      <x v="1"/>
    </i>
    <i t="default">
      <x v="5"/>
    </i>
    <i>
      <x v="6"/>
      <x/>
    </i>
    <i r="1">
      <x v="2"/>
    </i>
    <i t="default">
      <x v="6"/>
    </i>
    <i t="grand">
      <x/>
    </i>
  </rowItems>
  <colFields count="1">
    <field x="0"/>
  </colFields>
  <colItems count="3">
    <i>
      <x/>
    </i>
    <i>
      <x v="15"/>
    </i>
    <i t="grand">
      <x/>
    </i>
  </colItems>
  <dataFields count="1">
    <dataField name="Soma de Gaming_Revenue_MillionUSD" fld="4" baseField="0" baseItem="0" numFmtId="164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DCD97-7996-4745-B4D4-641A9E3294ED}" name="tbl_plataforma" cacheId="44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>
  <location ref="B69:C73" firstHeaderRow="1" firstDataRow="1" firstDataCol="1"/>
  <pivotFields count="27">
    <pivotField compact="0" outline="0" showAll="0"/>
    <pivotField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numFmtId="2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Gaming_Revenue_MillionUSD" fld="4" baseField="0" baseItem="0" numFmtId="164"/>
  </dataFields>
  <formats count="1">
    <format dxfId="24">
      <pivotArea outline="0" collapsedLevelsAreSubtotals="1" fieldPosition="0"/>
    </format>
  </formats>
  <chartFormats count="10">
    <chartFormat chart="5" format="15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5" format="17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EB1BB-00C7-4590-952E-9E850EB2B61A}" name="tbl_evolucao_receita" cacheId="44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U3:W20" firstHeaderRow="0" firstDataRow="1" firstDataCol="1" rowPageCount="1" colPageCount="1"/>
  <pivotFields count="27"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compact="0" outline="0" showAll="0">
      <items count="26">
        <item x="21"/>
        <item x="15"/>
        <item x="7"/>
        <item x="9"/>
        <item x="1"/>
        <item x="6"/>
        <item x="4"/>
        <item x="10"/>
        <item x="11"/>
        <item x="14"/>
        <item x="2"/>
        <item x="16"/>
        <item x="18"/>
        <item x="22"/>
        <item x="12"/>
        <item x="20"/>
        <item x="24"/>
        <item x="19"/>
        <item x="3"/>
        <item x="13"/>
        <item x="17"/>
        <item x="23"/>
        <item x="8"/>
        <item x="5"/>
        <item x="0"/>
        <item t="default"/>
      </items>
    </pivotField>
    <pivotField compact="0" outline="0" showAll="0">
      <items count="8">
        <item x="6"/>
        <item x="1"/>
        <item x="2"/>
        <item x="4"/>
        <item x="0"/>
        <item x="5"/>
        <item x="3"/>
        <item t="default"/>
      </items>
    </pivotField>
    <pivotField compact="0" outline="0" showAll="0"/>
    <pivotField dataField="1"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164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E-sports" fld="5" baseField="0" baseItem="0"/>
    <dataField name="Gaming" fld="4" baseField="0" baseItem="0" numFmtId="1"/>
  </dataFields>
  <formats count="24">
    <format dxfId="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">
      <pivotArea outline="0" collapsedLevelsAreSubtotals="1" fieldPosition="0"/>
    </format>
    <format dxfId="2">
      <pivotArea outline="0" collapsedLevelsAreSubtotals="1" fieldPosition="0"/>
    </format>
    <format dxfId="3">
      <pivotArea dataOnly="0" labelOnly="1" outline="0" fieldPosition="0">
        <references count="1">
          <reference field="0" count="0"/>
        </references>
      </pivotArea>
    </format>
    <format dxfId="4">
      <pivotArea outline="0" fieldPosition="0">
        <references count="1">
          <reference field="0" count="1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5">
      <pivotArea grandRow="1" outline="0" collapsedLevelsAreSubtotals="1" fieldPosition="0"/>
    </format>
    <format dxfId="6">
      <pivotArea dataOnly="0" labelOnly="1" outline="0" fieldPosition="0">
        <references count="1">
          <reference field="0" count="1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7">
      <pivotArea dataOnly="0" labelOnly="1" grandRow="1" outline="0" fieldPosition="0"/>
    </format>
    <format dxfId="8">
      <pivotArea outline="0" fieldPosition="0">
        <references count="1">
          <reference field="0" count="2" selected="0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0" count="2">
            <x v="0"/>
            <x v="1"/>
          </reference>
        </references>
      </pivotArea>
    </format>
    <format dxfId="10">
      <pivotArea outline="0" fieldPosition="0">
        <references count="1">
          <reference field="0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0" count="1">
            <x v="1"/>
          </reference>
        </references>
      </pivotArea>
    </format>
    <format dxfId="12">
      <pivotArea outline="0" fieldPosition="0">
        <references count="1">
          <reference field="0" count="1" selected="0">
            <x v="0"/>
          </reference>
        </references>
      </pivotArea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0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fieldPosition="0">
        <references count="1">
          <reference field="0" count="1" selected="0">
            <x v="0"/>
          </reference>
        </references>
      </pivotArea>
    </format>
    <format dxfId="17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0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outline="0" fieldPosition="0">
        <references count="1">
          <reference field="0" count="1" selected="0">
            <x v="0"/>
          </reference>
        </references>
      </pivotArea>
    </format>
    <format dxfId="21">
      <pivotArea field="0" type="button" dataOnly="0" labelOnly="1" outline="0" axis="axisRow" fieldPosition="0"/>
    </format>
    <format dxfId="22">
      <pivotArea dataOnly="0" labelOnly="1" outline="0" fieldPosition="0">
        <references count="1">
          <reference field="0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untry" xr10:uid="{C383550C-FB07-47A0-B891-5C458B66096F}" sourceName="Country">
  <pivotTables>
    <pivotTable tabId="2" name="tbl-cagr-esports"/>
    <pivotTable tabId="2" name="tbl_cagr_todos"/>
    <pivotTable tabId="2" name="tbl_participação_fem"/>
    <pivotTable tabId="2" name="tbl_plataforma"/>
    <pivotTable tabId="2" name="tbl-cagr-gaming"/>
    <pivotTable tabId="2" name="tbl_gasto_jogador"/>
    <pivotTable tabId="2" name="tbl_genero_regao"/>
    <pivotTable tabId="3" name="tbl_evolucao_receita"/>
  </pivotTables>
  <data>
    <tabular pivotCacheId="1550025358">
      <items count="25">
        <i x="21" s="1"/>
        <i x="15" s="1"/>
        <i x="7" s="1"/>
        <i x="9" s="1"/>
        <i x="1" s="1"/>
        <i x="6" s="1"/>
        <i x="4" s="1"/>
        <i x="10" s="1"/>
        <i x="11" s="1"/>
        <i x="14" s="1"/>
        <i x="2" s="1"/>
        <i x="16" s="1"/>
        <i x="18" s="1"/>
        <i x="22" s="1"/>
        <i x="12" s="1"/>
        <i x="20" s="1"/>
        <i x="24" s="1"/>
        <i x="19" s="1"/>
        <i x="3" s="1"/>
        <i x="13" s="1"/>
        <i x="17" s="1"/>
        <i x="23" s="1"/>
        <i x="8" s="1"/>
        <i x="5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34CC27CA-CE1F-41E2-ADB3-265AF48E8AE3}" sourceName="Region">
  <pivotTables>
    <pivotTable tabId="3" name="tbl_evolucao_receita"/>
    <pivotTable tabId="2" name="tbl_genero_regao"/>
    <pivotTable tabId="2" name="tbl_gasto_jogador"/>
    <pivotTable tabId="2" name="tbl-cagr-gaming"/>
    <pivotTable tabId="2" name="tbl_plataforma"/>
    <pivotTable tabId="2" name="tbl_participação_fem"/>
    <pivotTable tabId="2" name="tbl_cagr_todos"/>
    <pivotTable tabId="2" name="tbl-cagr-esports"/>
  </pivotTables>
  <data>
    <tabular pivotCacheId="1550025358">
      <items count="7">
        <i x="6" s="1"/>
        <i x="1" s="1"/>
        <i x="2" s="1"/>
        <i x="4" s="1"/>
        <i x="0" s="1"/>
        <i x="5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74D178FE-2D22-4752-82E3-E6DDC01D6C2C}" cache="SegmentaçãodeDados_Country" caption="Country" rowHeight="228600"/>
  <slicer name="Region" xr10:uid="{24FD436F-AEDB-46DD-986E-F93B4EE31987}" cache="SegmentaçãodeDados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C591-50A2-4177-BDA7-5590ACA57CD4}">
  <dimension ref="A1:AA401"/>
  <sheetViews>
    <sheetView workbookViewId="0">
      <selection activeCell="T2" sqref="T2"/>
    </sheetView>
  </sheetViews>
  <sheetFormatPr defaultRowHeight="15"/>
  <cols>
    <col min="2" max="3" width="9.140625" style="13"/>
    <col min="4" max="4" width="26.28515625" style="12" bestFit="1" customWidth="1"/>
    <col min="5" max="5" width="26.28515625" style="17" customWidth="1"/>
    <col min="6" max="6" width="26.7109375" style="12" bestFit="1" customWidth="1"/>
    <col min="7" max="7" width="20.7109375" style="7" bestFit="1" customWidth="1"/>
    <col min="8" max="8" width="22.42578125" style="7" bestFit="1" customWidth="1"/>
    <col min="9" max="9" width="18.85546875" style="12" bestFit="1" customWidth="1"/>
    <col min="10" max="10" width="10.5703125" style="13" bestFit="1" customWidth="1"/>
    <col min="11" max="11" width="12.85546875" style="13" bestFit="1" customWidth="1"/>
    <col min="12" max="12" width="26.28515625" bestFit="1" customWidth="1"/>
    <col min="13" max="13" width="17.42578125" bestFit="1" customWidth="1"/>
    <col min="14" max="14" width="27.140625" bestFit="1" customWidth="1"/>
    <col min="15" max="15" width="9.140625" style="14" hidden="1" customWidth="1"/>
    <col min="16" max="16" width="15.42578125" bestFit="1" customWidth="1"/>
    <col min="17" max="17" width="21.7109375" bestFit="1" customWidth="1"/>
    <col min="18" max="18" width="24.7109375" bestFit="1" customWidth="1"/>
    <col min="19" max="19" width="18.7109375" bestFit="1" customWidth="1"/>
    <col min="20" max="20" width="18.7109375" customWidth="1"/>
    <col min="21" max="21" width="22" hidden="1" customWidth="1"/>
    <col min="22" max="22" width="20.85546875" bestFit="1" customWidth="1"/>
    <col min="23" max="23" width="27.28515625" style="12" bestFit="1" customWidth="1"/>
    <col min="24" max="24" width="24.5703125" style="6" bestFit="1" customWidth="1"/>
    <col min="25" max="25" width="13.5703125" style="11" bestFit="1" customWidth="1"/>
    <col min="26" max="26" width="13.28515625" style="11" bestFit="1" customWidth="1"/>
    <col min="27" max="27" width="11.5703125" style="12" bestFit="1" customWidth="1"/>
  </cols>
  <sheetData>
    <row r="1" spans="1:27" ht="30.75">
      <c r="A1" t="s">
        <v>0</v>
      </c>
      <c r="B1" s="13" t="s">
        <v>1</v>
      </c>
      <c r="C1" s="13" t="s">
        <v>2</v>
      </c>
      <c r="D1" s="12" t="s">
        <v>3</v>
      </c>
      <c r="E1" s="16" t="s">
        <v>4</v>
      </c>
      <c r="F1" s="12" t="s">
        <v>5</v>
      </c>
      <c r="G1" s="7" t="s">
        <v>6</v>
      </c>
      <c r="H1" s="7" t="s">
        <v>7</v>
      </c>
      <c r="I1" s="12" t="s">
        <v>8</v>
      </c>
      <c r="J1" s="13" t="s">
        <v>9</v>
      </c>
      <c r="K1" s="13" t="s">
        <v>10</v>
      </c>
      <c r="L1" t="s">
        <v>11</v>
      </c>
      <c r="M1" t="s">
        <v>12</v>
      </c>
      <c r="N1" s="14" t="s">
        <v>13</v>
      </c>
      <c r="O1" s="1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2" t="s">
        <v>22</v>
      </c>
      <c r="X1" s="6" t="s">
        <v>23</v>
      </c>
      <c r="Y1" s="11" t="s">
        <v>24</v>
      </c>
      <c r="Z1" s="11" t="s">
        <v>25</v>
      </c>
      <c r="AA1" s="12" t="s">
        <v>26</v>
      </c>
    </row>
    <row r="2" spans="1:27">
      <c r="A2">
        <v>2010</v>
      </c>
      <c r="B2" s="13" t="s">
        <v>27</v>
      </c>
      <c r="C2" s="13" t="s">
        <v>28</v>
      </c>
      <c r="D2" s="12">
        <v>6.24</v>
      </c>
      <c r="E2" s="17">
        <f>D2*1000</f>
        <v>6240</v>
      </c>
      <c r="F2" s="12">
        <v>409.6</v>
      </c>
      <c r="G2" s="7">
        <v>11</v>
      </c>
      <c r="H2" s="7">
        <v>17.899999999999999</v>
      </c>
      <c r="I2" s="12">
        <v>133.9</v>
      </c>
      <c r="J2" s="13" t="s">
        <v>29</v>
      </c>
      <c r="K2" s="13" t="s">
        <v>30</v>
      </c>
      <c r="L2">
        <v>104</v>
      </c>
      <c r="M2">
        <v>15912</v>
      </c>
      <c r="N2" s="15">
        <f>O2/100</f>
        <v>0.82499999999999996</v>
      </c>
      <c r="O2" s="7">
        <f>82.5</f>
        <v>82.5</v>
      </c>
      <c r="P2">
        <v>95.4</v>
      </c>
      <c r="Q2">
        <v>0.13</v>
      </c>
      <c r="R2">
        <v>0.1</v>
      </c>
      <c r="S2">
        <v>0</v>
      </c>
      <c r="T2" s="15">
        <f>U2/100</f>
        <v>0.13</v>
      </c>
      <c r="U2">
        <v>13</v>
      </c>
      <c r="V2">
        <v>20</v>
      </c>
      <c r="W2" s="12">
        <v>34</v>
      </c>
      <c r="X2" s="6">
        <v>395</v>
      </c>
      <c r="Y2" s="11">
        <f>VLOOKUP(B2,calculo!$C$5:$D$29,2,FALSE)</f>
        <v>0.24018869186095859</v>
      </c>
      <c r="Z2" s="11">
        <f>VLOOKUP(B2,calculo!$C$5:$E$29,3,FALSE)</f>
        <v>0.30424315037542593</v>
      </c>
      <c r="AA2" s="12">
        <f>E2/G2</f>
        <v>567.27272727272725</v>
      </c>
    </row>
    <row r="3" spans="1:27">
      <c r="A3">
        <v>2011</v>
      </c>
      <c r="B3" s="13" t="s">
        <v>27</v>
      </c>
      <c r="C3" s="13" t="s">
        <v>28</v>
      </c>
      <c r="D3" s="12">
        <v>7.74</v>
      </c>
      <c r="E3" s="17">
        <f t="shared" ref="E3:E66" si="0">D3*1000</f>
        <v>7740</v>
      </c>
      <c r="F3" s="12">
        <v>622.70000000000005</v>
      </c>
      <c r="G3" s="7">
        <v>32.4</v>
      </c>
      <c r="H3" s="7">
        <v>76.7</v>
      </c>
      <c r="I3" s="12">
        <v>64.900000000000006</v>
      </c>
      <c r="J3" s="13" t="s">
        <v>31</v>
      </c>
      <c r="K3" s="13" t="s">
        <v>32</v>
      </c>
      <c r="L3">
        <v>63</v>
      </c>
      <c r="M3">
        <v>13797</v>
      </c>
      <c r="N3" s="15">
        <f>O3/100</f>
        <v>0.70499999999999996</v>
      </c>
      <c r="O3" s="14">
        <v>70.5</v>
      </c>
      <c r="P3">
        <v>83.9</v>
      </c>
      <c r="Q3">
        <v>0.08</v>
      </c>
      <c r="R3">
        <v>0.16</v>
      </c>
      <c r="S3">
        <v>0</v>
      </c>
      <c r="T3" s="15">
        <f t="shared" ref="T3:T66" si="1">U3/100</f>
        <v>0.107</v>
      </c>
      <c r="U3">
        <v>10.7</v>
      </c>
      <c r="V3">
        <v>23</v>
      </c>
      <c r="W3" s="12">
        <v>10.199999999999999</v>
      </c>
      <c r="X3" s="6">
        <v>60</v>
      </c>
      <c r="Y3" s="11">
        <f>VLOOKUP(B3,calculo!$C$5:$D$29,2,FALSE)</f>
        <v>0.24018869186095859</v>
      </c>
      <c r="Z3" s="11">
        <f>VLOOKUP(B3,calculo!$C$5:$E$29,3,FALSE)</f>
        <v>0.30424315037542593</v>
      </c>
      <c r="AA3" s="12">
        <f t="shared" ref="AA3:AA66" si="2">E3/G3</f>
        <v>238.88888888888889</v>
      </c>
    </row>
    <row r="4" spans="1:27">
      <c r="A4">
        <v>2012</v>
      </c>
      <c r="B4" s="13" t="s">
        <v>27</v>
      </c>
      <c r="C4" s="13" t="s">
        <v>28</v>
      </c>
      <c r="D4" s="12">
        <v>9.6</v>
      </c>
      <c r="E4" s="17">
        <f t="shared" si="0"/>
        <v>9600</v>
      </c>
      <c r="F4" s="12">
        <v>928.3</v>
      </c>
      <c r="G4" s="7">
        <v>51.9</v>
      </c>
      <c r="H4" s="7">
        <v>148.4</v>
      </c>
      <c r="I4" s="12">
        <v>84.1</v>
      </c>
      <c r="J4" s="13" t="s">
        <v>33</v>
      </c>
      <c r="K4" s="13" t="s">
        <v>30</v>
      </c>
      <c r="L4">
        <v>22</v>
      </c>
      <c r="M4">
        <v>3982</v>
      </c>
      <c r="N4" s="15">
        <f>O4/100</f>
        <v>0.63700000000000001</v>
      </c>
      <c r="O4" s="14">
        <v>63.7</v>
      </c>
      <c r="P4">
        <v>32.299999999999997</v>
      </c>
      <c r="Q4">
        <v>0.11</v>
      </c>
      <c r="R4">
        <v>0.22</v>
      </c>
      <c r="S4">
        <v>0</v>
      </c>
      <c r="T4" s="15">
        <f t="shared" si="1"/>
        <v>0.13300000000000001</v>
      </c>
      <c r="U4">
        <v>13.3</v>
      </c>
      <c r="V4">
        <v>26</v>
      </c>
      <c r="W4" s="12">
        <v>8.5</v>
      </c>
      <c r="X4" s="6">
        <v>349</v>
      </c>
      <c r="Y4" s="11">
        <f>VLOOKUP(B4,calculo!$C$5:$D$29,2,FALSE)</f>
        <v>0.24018869186095859</v>
      </c>
      <c r="Z4" s="11">
        <f>VLOOKUP(B4,calculo!$C$5:$E$29,3,FALSE)</f>
        <v>0.30424315037542593</v>
      </c>
      <c r="AA4" s="12">
        <f t="shared" si="2"/>
        <v>184.97109826589596</v>
      </c>
    </row>
    <row r="5" spans="1:27">
      <c r="A5">
        <v>2013</v>
      </c>
      <c r="B5" s="13" t="s">
        <v>27</v>
      </c>
      <c r="C5" s="13" t="s">
        <v>28</v>
      </c>
      <c r="D5" s="12">
        <v>11.91</v>
      </c>
      <c r="E5" s="17">
        <f t="shared" si="0"/>
        <v>11910</v>
      </c>
      <c r="F5" s="12">
        <v>1321.8</v>
      </c>
      <c r="G5" s="7">
        <v>50.3</v>
      </c>
      <c r="H5" s="7">
        <v>92.9</v>
      </c>
      <c r="I5" s="12">
        <v>76.900000000000006</v>
      </c>
      <c r="J5" s="13" t="s">
        <v>33</v>
      </c>
      <c r="K5" s="13" t="s">
        <v>30</v>
      </c>
      <c r="L5">
        <v>54</v>
      </c>
      <c r="M5">
        <v>8262</v>
      </c>
      <c r="N5" s="15">
        <f>O5/100</f>
        <v>0.51400000000000001</v>
      </c>
      <c r="O5" s="14">
        <v>51.4</v>
      </c>
      <c r="P5">
        <v>88.2</v>
      </c>
      <c r="Q5">
        <v>0.14000000000000001</v>
      </c>
      <c r="R5">
        <v>0.28000000000000003</v>
      </c>
      <c r="S5">
        <v>0</v>
      </c>
      <c r="T5" s="15">
        <f t="shared" si="1"/>
        <v>0.128</v>
      </c>
      <c r="U5">
        <v>12.8</v>
      </c>
      <c r="V5">
        <v>29</v>
      </c>
      <c r="W5" s="12">
        <v>18.3</v>
      </c>
      <c r="X5" s="6">
        <v>53</v>
      </c>
      <c r="Y5" s="11">
        <f>VLOOKUP(B5,calculo!$C$5:$D$29,2,FALSE)</f>
        <v>0.24018869186095859</v>
      </c>
      <c r="Z5" s="11">
        <f>VLOOKUP(B5,calculo!$C$5:$E$29,3,FALSE)</f>
        <v>0.30424315037542593</v>
      </c>
      <c r="AA5" s="12">
        <f t="shared" si="2"/>
        <v>236.77932405566602</v>
      </c>
    </row>
    <row r="6" spans="1:27">
      <c r="A6">
        <v>2014</v>
      </c>
      <c r="B6" s="13" t="s">
        <v>27</v>
      </c>
      <c r="C6" s="13" t="s">
        <v>28</v>
      </c>
      <c r="D6" s="12">
        <v>14.77</v>
      </c>
      <c r="E6" s="17">
        <f t="shared" si="0"/>
        <v>14770</v>
      </c>
      <c r="F6" s="12">
        <v>869.1</v>
      </c>
      <c r="G6" s="7">
        <v>13.4</v>
      </c>
      <c r="H6" s="7">
        <v>21.3</v>
      </c>
      <c r="I6" s="12">
        <v>69</v>
      </c>
      <c r="J6" s="13" t="s">
        <v>29</v>
      </c>
      <c r="K6" s="13" t="s">
        <v>30</v>
      </c>
      <c r="L6">
        <v>84</v>
      </c>
      <c r="M6">
        <v>24024</v>
      </c>
      <c r="N6" s="15">
        <f>O6/100</f>
        <v>0.93400000000000005</v>
      </c>
      <c r="O6" s="14">
        <v>93.4</v>
      </c>
      <c r="P6">
        <v>70.5</v>
      </c>
      <c r="Q6">
        <v>0.14000000000000001</v>
      </c>
      <c r="R6">
        <v>0.34</v>
      </c>
      <c r="S6">
        <v>0</v>
      </c>
      <c r="T6" s="15">
        <f t="shared" si="1"/>
        <v>0.17</v>
      </c>
      <c r="U6">
        <v>17</v>
      </c>
      <c r="V6">
        <v>32</v>
      </c>
      <c r="W6" s="12">
        <v>18.3</v>
      </c>
      <c r="X6" s="6">
        <v>50</v>
      </c>
      <c r="Y6" s="11">
        <f>VLOOKUP(B6,calculo!$C$5:$D$29,2,FALSE)</f>
        <v>0.24018869186095859</v>
      </c>
      <c r="Z6" s="11">
        <f>VLOOKUP(B6,calculo!$C$5:$E$29,3,FALSE)</f>
        <v>0.30424315037542593</v>
      </c>
      <c r="AA6" s="12">
        <f t="shared" si="2"/>
        <v>1102.2388059701493</v>
      </c>
    </row>
    <row r="7" spans="1:27">
      <c r="A7">
        <v>2015</v>
      </c>
      <c r="B7" s="13" t="s">
        <v>27</v>
      </c>
      <c r="C7" s="13" t="s">
        <v>28</v>
      </c>
      <c r="D7" s="12">
        <v>18.309999999999999</v>
      </c>
      <c r="E7" s="17">
        <f t="shared" si="0"/>
        <v>18310</v>
      </c>
      <c r="F7" s="12">
        <v>944.4</v>
      </c>
      <c r="G7" s="7">
        <v>26.6</v>
      </c>
      <c r="H7" s="7">
        <v>60.8</v>
      </c>
      <c r="I7" s="12">
        <v>65.2</v>
      </c>
      <c r="J7" s="13" t="s">
        <v>34</v>
      </c>
      <c r="K7" s="13" t="s">
        <v>32</v>
      </c>
      <c r="L7">
        <v>67</v>
      </c>
      <c r="M7">
        <v>12596</v>
      </c>
      <c r="N7" s="15">
        <f>O7/100</f>
        <v>0.84699999999999998</v>
      </c>
      <c r="O7" s="14">
        <v>84.7</v>
      </c>
      <c r="P7">
        <v>30.6</v>
      </c>
      <c r="Q7">
        <v>0.06</v>
      </c>
      <c r="R7">
        <v>0.4</v>
      </c>
      <c r="S7">
        <v>0</v>
      </c>
      <c r="T7" s="15">
        <f t="shared" si="1"/>
        <v>0.17300000000000001</v>
      </c>
      <c r="U7">
        <v>17.3</v>
      </c>
      <c r="V7">
        <v>35</v>
      </c>
      <c r="W7" s="12">
        <v>13.4</v>
      </c>
      <c r="X7" s="6">
        <v>240</v>
      </c>
      <c r="Y7" s="11">
        <f>VLOOKUP(B7,calculo!$C$5:$D$29,2,FALSE)</f>
        <v>0.24018869186095859</v>
      </c>
      <c r="Z7" s="11">
        <f>VLOOKUP(B7,calculo!$C$5:$E$29,3,FALSE)</f>
        <v>0.30424315037542593</v>
      </c>
      <c r="AA7" s="12">
        <f t="shared" si="2"/>
        <v>688.3458646616541</v>
      </c>
    </row>
    <row r="8" spans="1:27">
      <c r="A8">
        <v>2016</v>
      </c>
      <c r="B8" s="13" t="s">
        <v>27</v>
      </c>
      <c r="C8" s="13" t="s">
        <v>28</v>
      </c>
      <c r="D8" s="12">
        <v>22.71</v>
      </c>
      <c r="E8" s="17">
        <f t="shared" si="0"/>
        <v>22710</v>
      </c>
      <c r="F8" s="12">
        <v>3066.3</v>
      </c>
      <c r="G8" s="7">
        <v>28.1</v>
      </c>
      <c r="H8" s="7">
        <v>47.5</v>
      </c>
      <c r="I8" s="12">
        <v>74.5</v>
      </c>
      <c r="J8" s="13" t="s">
        <v>31</v>
      </c>
      <c r="K8" s="13" t="s">
        <v>30</v>
      </c>
      <c r="L8">
        <v>66</v>
      </c>
      <c r="M8">
        <v>17490</v>
      </c>
      <c r="N8" s="15">
        <f>O8/100</f>
        <v>0.89900000000000002</v>
      </c>
      <c r="O8" s="14">
        <v>89.9</v>
      </c>
      <c r="P8">
        <v>60.4</v>
      </c>
      <c r="Q8">
        <v>0.21</v>
      </c>
      <c r="R8">
        <v>0.46</v>
      </c>
      <c r="S8">
        <v>0</v>
      </c>
      <c r="T8" s="15">
        <f t="shared" si="1"/>
        <v>0.20499999999999999</v>
      </c>
      <c r="U8">
        <v>20.5</v>
      </c>
      <c r="V8">
        <v>38</v>
      </c>
      <c r="W8" s="12">
        <v>20.9</v>
      </c>
      <c r="X8" s="6">
        <v>110</v>
      </c>
      <c r="Y8" s="11">
        <f>VLOOKUP(B8,calculo!$C$5:$D$29,2,FALSE)</f>
        <v>0.24018869186095859</v>
      </c>
      <c r="Z8" s="11">
        <f>VLOOKUP(B8,calculo!$C$5:$E$29,3,FALSE)</f>
        <v>0.30424315037542593</v>
      </c>
      <c r="AA8" s="12">
        <f t="shared" si="2"/>
        <v>808.18505338078285</v>
      </c>
    </row>
    <row r="9" spans="1:27">
      <c r="A9">
        <v>2017</v>
      </c>
      <c r="B9" s="13" t="s">
        <v>27</v>
      </c>
      <c r="C9" s="13" t="s">
        <v>28</v>
      </c>
      <c r="D9" s="12">
        <v>28.17</v>
      </c>
      <c r="E9" s="17">
        <f t="shared" si="0"/>
        <v>28170</v>
      </c>
      <c r="F9" s="12">
        <v>2129.6</v>
      </c>
      <c r="G9" s="7">
        <v>4.3</v>
      </c>
      <c r="H9" s="7">
        <v>12.7</v>
      </c>
      <c r="I9" s="12">
        <v>43.3</v>
      </c>
      <c r="J9" s="13" t="s">
        <v>35</v>
      </c>
      <c r="K9" s="13" t="s">
        <v>36</v>
      </c>
      <c r="L9">
        <v>81</v>
      </c>
      <c r="M9">
        <v>18468</v>
      </c>
      <c r="N9" s="15">
        <f>O9/100</f>
        <v>0.72900000000000009</v>
      </c>
      <c r="O9" s="14">
        <v>72.900000000000006</v>
      </c>
      <c r="P9">
        <v>93.1</v>
      </c>
      <c r="Q9">
        <v>0.21</v>
      </c>
      <c r="R9">
        <v>0.52</v>
      </c>
      <c r="S9">
        <v>0</v>
      </c>
      <c r="T9" s="15">
        <f t="shared" si="1"/>
        <v>0.23199999999999998</v>
      </c>
      <c r="U9">
        <v>23.2</v>
      </c>
      <c r="V9">
        <v>41</v>
      </c>
      <c r="W9" s="12">
        <v>12.8</v>
      </c>
      <c r="X9" s="6">
        <v>416</v>
      </c>
      <c r="Y9" s="11">
        <f>VLOOKUP(B9,calculo!$C$5:$D$29,2,FALSE)</f>
        <v>0.24018869186095859</v>
      </c>
      <c r="Z9" s="11">
        <f>VLOOKUP(B9,calculo!$C$5:$E$29,3,FALSE)</f>
        <v>0.30424315037542593</v>
      </c>
      <c r="AA9" s="12">
        <f t="shared" si="2"/>
        <v>6551.1627906976746</v>
      </c>
    </row>
    <row r="10" spans="1:27">
      <c r="A10">
        <v>2018</v>
      </c>
      <c r="B10" s="13" t="s">
        <v>27</v>
      </c>
      <c r="C10" s="13" t="s">
        <v>28</v>
      </c>
      <c r="D10" s="12">
        <v>34.93</v>
      </c>
      <c r="E10" s="17">
        <f t="shared" si="0"/>
        <v>34930</v>
      </c>
      <c r="F10" s="12">
        <v>2455.8000000000002</v>
      </c>
      <c r="G10" s="7">
        <v>56.7</v>
      </c>
      <c r="H10" s="7">
        <v>152.9</v>
      </c>
      <c r="I10" s="12">
        <v>113.4</v>
      </c>
      <c r="J10" s="13" t="s">
        <v>35</v>
      </c>
      <c r="K10" s="13" t="s">
        <v>36</v>
      </c>
      <c r="L10">
        <v>32</v>
      </c>
      <c r="M10">
        <v>3680</v>
      </c>
      <c r="N10" s="15">
        <f>O10/100</f>
        <v>0.89200000000000002</v>
      </c>
      <c r="O10" s="14">
        <v>89.2</v>
      </c>
      <c r="P10">
        <v>85.3</v>
      </c>
      <c r="Q10">
        <v>0.38</v>
      </c>
      <c r="R10">
        <v>0.57999999999999996</v>
      </c>
      <c r="S10">
        <v>0</v>
      </c>
      <c r="T10" s="15">
        <f t="shared" si="1"/>
        <v>0.27899999999999997</v>
      </c>
      <c r="U10">
        <v>27.9</v>
      </c>
      <c r="V10">
        <v>44</v>
      </c>
      <c r="W10" s="12">
        <v>9.8000000000000007</v>
      </c>
      <c r="X10" s="6">
        <v>53</v>
      </c>
      <c r="Y10" s="11">
        <f>VLOOKUP(B10,calculo!$C$5:$D$29,2,FALSE)</f>
        <v>0.24018869186095859</v>
      </c>
      <c r="Z10" s="11">
        <f>VLOOKUP(B10,calculo!$C$5:$E$29,3,FALSE)</f>
        <v>0.30424315037542593</v>
      </c>
      <c r="AA10" s="12">
        <f t="shared" si="2"/>
        <v>616.04938271604931</v>
      </c>
    </row>
    <row r="11" spans="1:27">
      <c r="A11">
        <v>2019</v>
      </c>
      <c r="B11" s="13" t="s">
        <v>27</v>
      </c>
      <c r="C11" s="13" t="s">
        <v>28</v>
      </c>
      <c r="D11" s="12">
        <v>43.32</v>
      </c>
      <c r="E11" s="17">
        <f t="shared" si="0"/>
        <v>43320</v>
      </c>
      <c r="F11" s="12">
        <v>3571</v>
      </c>
      <c r="G11" s="7">
        <v>9.1</v>
      </c>
      <c r="H11" s="7">
        <v>20.100000000000001</v>
      </c>
      <c r="I11" s="12">
        <v>138.80000000000001</v>
      </c>
      <c r="J11" s="13" t="s">
        <v>35</v>
      </c>
      <c r="K11" s="13" t="s">
        <v>36</v>
      </c>
      <c r="L11">
        <v>5</v>
      </c>
      <c r="M11">
        <v>850</v>
      </c>
      <c r="N11" s="15">
        <f>O11/100</f>
        <v>0.88700000000000001</v>
      </c>
      <c r="O11" s="14">
        <v>88.7</v>
      </c>
      <c r="P11">
        <v>25.5</v>
      </c>
      <c r="Q11">
        <v>0.47</v>
      </c>
      <c r="R11">
        <v>0.64</v>
      </c>
      <c r="S11">
        <v>0</v>
      </c>
      <c r="T11" s="15">
        <f t="shared" si="1"/>
        <v>0.24600000000000002</v>
      </c>
      <c r="U11">
        <v>24.6</v>
      </c>
      <c r="V11">
        <v>47</v>
      </c>
      <c r="W11" s="12">
        <v>1.6</v>
      </c>
      <c r="X11" s="6">
        <v>465</v>
      </c>
      <c r="Y11" s="11">
        <f>VLOOKUP(B11,calculo!$C$5:$D$29,2,FALSE)</f>
        <v>0.24018869186095859</v>
      </c>
      <c r="Z11" s="11">
        <f>VLOOKUP(B11,calculo!$C$5:$E$29,3,FALSE)</f>
        <v>0.30424315037542593</v>
      </c>
      <c r="AA11" s="12">
        <f t="shared" si="2"/>
        <v>4760.4395604395604</v>
      </c>
    </row>
    <row r="12" spans="1:27">
      <c r="A12">
        <v>2020</v>
      </c>
      <c r="B12" s="13" t="s">
        <v>27</v>
      </c>
      <c r="C12" s="13" t="s">
        <v>28</v>
      </c>
      <c r="D12" s="12">
        <v>53.72</v>
      </c>
      <c r="E12" s="17">
        <f t="shared" si="0"/>
        <v>53720</v>
      </c>
      <c r="F12" s="12">
        <v>4133.3999999999996</v>
      </c>
      <c r="G12" s="7">
        <v>16.2</v>
      </c>
      <c r="H12" s="7">
        <v>29.7</v>
      </c>
      <c r="I12" s="12">
        <v>56.3</v>
      </c>
      <c r="J12" s="13" t="s">
        <v>35</v>
      </c>
      <c r="K12" s="13" t="s">
        <v>30</v>
      </c>
      <c r="L12">
        <v>92</v>
      </c>
      <c r="M12">
        <v>25944</v>
      </c>
      <c r="N12" s="15">
        <f>O12/100</f>
        <v>0.93299999999999994</v>
      </c>
      <c r="O12" s="14">
        <v>93.3</v>
      </c>
      <c r="P12">
        <v>43.9</v>
      </c>
      <c r="Q12">
        <v>0.6</v>
      </c>
      <c r="R12">
        <v>1.1100000000000001</v>
      </c>
      <c r="S12">
        <v>0.41</v>
      </c>
      <c r="T12" s="15">
        <f t="shared" si="1"/>
        <v>0.26400000000000001</v>
      </c>
      <c r="U12">
        <v>26.4</v>
      </c>
      <c r="V12">
        <v>50</v>
      </c>
      <c r="W12" s="12">
        <v>23.1</v>
      </c>
      <c r="X12" s="6">
        <v>395</v>
      </c>
      <c r="Y12" s="11">
        <f>VLOOKUP(B12,calculo!$C$5:$D$29,2,FALSE)</f>
        <v>0.24018869186095859</v>
      </c>
      <c r="Z12" s="11">
        <f>VLOOKUP(B12,calculo!$C$5:$E$29,3,FALSE)</f>
        <v>0.30424315037542593</v>
      </c>
      <c r="AA12" s="12">
        <f t="shared" si="2"/>
        <v>3316.0493827160494</v>
      </c>
    </row>
    <row r="13" spans="1:27">
      <c r="A13">
        <v>2021</v>
      </c>
      <c r="B13" s="13" t="s">
        <v>27</v>
      </c>
      <c r="C13" s="13" t="s">
        <v>28</v>
      </c>
      <c r="D13" s="12">
        <v>66.62</v>
      </c>
      <c r="E13" s="17">
        <f t="shared" si="0"/>
        <v>66620</v>
      </c>
      <c r="F13" s="12">
        <v>5630.1</v>
      </c>
      <c r="G13" s="7">
        <v>38.799999999999997</v>
      </c>
      <c r="H13" s="7">
        <v>111</v>
      </c>
      <c r="I13" s="12">
        <v>93.7</v>
      </c>
      <c r="J13" s="13" t="s">
        <v>31</v>
      </c>
      <c r="K13" s="13" t="s">
        <v>32</v>
      </c>
      <c r="L13">
        <v>94</v>
      </c>
      <c r="M13">
        <v>19646</v>
      </c>
      <c r="N13" s="15">
        <f>O13/100</f>
        <v>0.84299999999999997</v>
      </c>
      <c r="O13" s="14">
        <v>84.3</v>
      </c>
      <c r="P13">
        <v>42.8</v>
      </c>
      <c r="Q13">
        <v>0.56000000000000005</v>
      </c>
      <c r="R13">
        <v>1.24</v>
      </c>
      <c r="S13">
        <v>0.48</v>
      </c>
      <c r="T13" s="15">
        <f t="shared" si="1"/>
        <v>0.28199999999999997</v>
      </c>
      <c r="U13">
        <v>28.2</v>
      </c>
      <c r="V13">
        <v>53</v>
      </c>
      <c r="W13" s="12">
        <v>27.1</v>
      </c>
      <c r="X13" s="6">
        <v>264</v>
      </c>
      <c r="Y13" s="11">
        <f>VLOOKUP(B13,calculo!$C$5:$D$29,2,FALSE)</f>
        <v>0.24018869186095859</v>
      </c>
      <c r="Z13" s="11">
        <f>VLOOKUP(B13,calculo!$C$5:$E$29,3,FALSE)</f>
        <v>0.30424315037542593</v>
      </c>
      <c r="AA13" s="12">
        <f t="shared" si="2"/>
        <v>1717.0103092783506</v>
      </c>
    </row>
    <row r="14" spans="1:27">
      <c r="A14">
        <v>2022</v>
      </c>
      <c r="B14" s="13" t="s">
        <v>27</v>
      </c>
      <c r="C14" s="13" t="s">
        <v>28</v>
      </c>
      <c r="D14" s="12">
        <v>82.62</v>
      </c>
      <c r="E14" s="17">
        <f t="shared" si="0"/>
        <v>82620</v>
      </c>
      <c r="F14" s="12">
        <v>12256.3</v>
      </c>
      <c r="G14" s="7">
        <v>25.1</v>
      </c>
      <c r="H14" s="7">
        <v>78.7</v>
      </c>
      <c r="I14" s="12">
        <v>125.8</v>
      </c>
      <c r="J14" s="13" t="s">
        <v>29</v>
      </c>
      <c r="K14" s="13" t="s">
        <v>32</v>
      </c>
      <c r="L14">
        <v>77</v>
      </c>
      <c r="M14">
        <v>13321</v>
      </c>
      <c r="N14" s="15">
        <f>O14/100</f>
        <v>0.7659999999999999</v>
      </c>
      <c r="O14" s="14">
        <v>76.599999999999994</v>
      </c>
      <c r="P14">
        <v>75.8</v>
      </c>
      <c r="Q14">
        <v>0.65</v>
      </c>
      <c r="R14">
        <v>0.82</v>
      </c>
      <c r="S14">
        <v>0</v>
      </c>
      <c r="T14" s="15">
        <f t="shared" si="1"/>
        <v>0.32799999999999996</v>
      </c>
      <c r="U14">
        <v>32.799999999999997</v>
      </c>
      <c r="V14">
        <v>56</v>
      </c>
      <c r="W14" s="12">
        <v>21.3</v>
      </c>
      <c r="X14" s="6">
        <v>412</v>
      </c>
      <c r="Y14" s="11">
        <f>VLOOKUP(B14,calculo!$C$5:$D$29,2,FALSE)</f>
        <v>0.24018869186095859</v>
      </c>
      <c r="Z14" s="11">
        <f>VLOOKUP(B14,calculo!$C$5:$E$29,3,FALSE)</f>
        <v>0.30424315037542593</v>
      </c>
      <c r="AA14" s="12">
        <f t="shared" si="2"/>
        <v>3291.6334661354581</v>
      </c>
    </row>
    <row r="15" spans="1:27">
      <c r="A15">
        <v>2023</v>
      </c>
      <c r="B15" s="13" t="s">
        <v>27</v>
      </c>
      <c r="C15" s="13" t="s">
        <v>28</v>
      </c>
      <c r="D15" s="12">
        <v>102.46</v>
      </c>
      <c r="E15" s="17">
        <f t="shared" si="0"/>
        <v>102460</v>
      </c>
      <c r="F15" s="12">
        <v>8695.6</v>
      </c>
      <c r="G15" s="7">
        <v>7.6</v>
      </c>
      <c r="H15" s="7">
        <v>25.6</v>
      </c>
      <c r="I15" s="12">
        <v>77.7</v>
      </c>
      <c r="J15" s="13" t="s">
        <v>34</v>
      </c>
      <c r="K15" s="13" t="s">
        <v>36</v>
      </c>
      <c r="L15">
        <v>43</v>
      </c>
      <c r="M15">
        <v>5633</v>
      </c>
      <c r="N15" s="15">
        <f>O15/100</f>
        <v>0.55100000000000005</v>
      </c>
      <c r="O15" s="14">
        <v>55.1</v>
      </c>
      <c r="P15">
        <v>94.4</v>
      </c>
      <c r="Q15">
        <v>0.78</v>
      </c>
      <c r="R15">
        <v>0.88</v>
      </c>
      <c r="S15">
        <v>0</v>
      </c>
      <c r="T15" s="15">
        <f t="shared" si="1"/>
        <v>0.32899999999999996</v>
      </c>
      <c r="U15">
        <v>32.9</v>
      </c>
      <c r="V15">
        <v>59</v>
      </c>
      <c r="W15" s="12">
        <v>15.5</v>
      </c>
      <c r="X15" s="6">
        <v>487</v>
      </c>
      <c r="Y15" s="11">
        <f>VLOOKUP(B15,calculo!$C$5:$D$29,2,FALSE)</f>
        <v>0.24018869186095859</v>
      </c>
      <c r="Z15" s="11">
        <f>VLOOKUP(B15,calculo!$C$5:$E$29,3,FALSE)</f>
        <v>0.30424315037542593</v>
      </c>
      <c r="AA15" s="12">
        <f t="shared" si="2"/>
        <v>13481.578947368422</v>
      </c>
    </row>
    <row r="16" spans="1:27">
      <c r="A16">
        <v>2024</v>
      </c>
      <c r="B16" s="13" t="s">
        <v>27</v>
      </c>
      <c r="C16" s="13" t="s">
        <v>28</v>
      </c>
      <c r="D16" s="12">
        <v>127.07</v>
      </c>
      <c r="E16" s="17">
        <f t="shared" si="0"/>
        <v>127070</v>
      </c>
      <c r="F16" s="12">
        <v>8576.5</v>
      </c>
      <c r="G16" s="7">
        <v>59</v>
      </c>
      <c r="H16" s="7">
        <v>149.4</v>
      </c>
      <c r="I16" s="12">
        <v>61.3</v>
      </c>
      <c r="J16" s="13" t="s">
        <v>29</v>
      </c>
      <c r="K16" s="13" t="s">
        <v>36</v>
      </c>
      <c r="L16">
        <v>5</v>
      </c>
      <c r="M16">
        <v>485</v>
      </c>
      <c r="N16" s="15">
        <f>O16/100</f>
        <v>0.89700000000000002</v>
      </c>
      <c r="O16" s="14">
        <v>89.7</v>
      </c>
      <c r="P16">
        <v>39.200000000000003</v>
      </c>
      <c r="Q16">
        <v>0.77</v>
      </c>
      <c r="R16">
        <v>0.94</v>
      </c>
      <c r="S16">
        <v>0</v>
      </c>
      <c r="T16" s="15">
        <f t="shared" si="1"/>
        <v>0.34799999999999998</v>
      </c>
      <c r="U16">
        <v>34.799999999999997</v>
      </c>
      <c r="V16">
        <v>62</v>
      </c>
      <c r="W16" s="12">
        <v>2</v>
      </c>
      <c r="X16" s="6">
        <v>242</v>
      </c>
      <c r="Y16" s="11">
        <f>VLOOKUP(B16,calculo!$C$5:$D$29,2,FALSE)</f>
        <v>0.24018869186095859</v>
      </c>
      <c r="Z16" s="11">
        <f>VLOOKUP(B16,calculo!$C$5:$E$29,3,FALSE)</f>
        <v>0.30424315037542593</v>
      </c>
      <c r="AA16" s="12">
        <f t="shared" si="2"/>
        <v>2153.7288135593221</v>
      </c>
    </row>
    <row r="17" spans="1:27">
      <c r="A17">
        <v>2025</v>
      </c>
      <c r="B17" s="13" t="s">
        <v>27</v>
      </c>
      <c r="C17" s="13" t="s">
        <v>28</v>
      </c>
      <c r="D17" s="12">
        <v>157.58000000000001</v>
      </c>
      <c r="E17" s="17">
        <f t="shared" si="0"/>
        <v>157580</v>
      </c>
      <c r="F17" s="12">
        <v>22016</v>
      </c>
      <c r="G17" s="7">
        <v>53.5</v>
      </c>
      <c r="H17" s="7">
        <v>163.5</v>
      </c>
      <c r="I17" s="12">
        <v>107</v>
      </c>
      <c r="J17" s="13" t="s">
        <v>31</v>
      </c>
      <c r="K17" s="13" t="s">
        <v>30</v>
      </c>
      <c r="L17">
        <v>79</v>
      </c>
      <c r="M17">
        <v>12798</v>
      </c>
      <c r="N17" s="15">
        <f>O17/100</f>
        <v>0.504</v>
      </c>
      <c r="O17" s="14">
        <v>50.4</v>
      </c>
      <c r="P17">
        <v>32.6</v>
      </c>
      <c r="Q17">
        <v>0.96</v>
      </c>
      <c r="R17">
        <v>1</v>
      </c>
      <c r="S17">
        <v>0</v>
      </c>
      <c r="T17" s="15">
        <f t="shared" si="1"/>
        <v>0.33299999999999996</v>
      </c>
      <c r="U17">
        <v>33.299999999999997</v>
      </c>
      <c r="V17">
        <v>65</v>
      </c>
      <c r="W17" s="12">
        <v>15</v>
      </c>
      <c r="X17" s="6">
        <v>108</v>
      </c>
      <c r="Y17" s="11">
        <f>VLOOKUP(B17,calculo!$C$5:$D$29,2,FALSE)</f>
        <v>0.24018869186095859</v>
      </c>
      <c r="Z17" s="11">
        <f>VLOOKUP(B17,calculo!$C$5:$E$29,3,FALSE)</f>
        <v>0.30424315037542593</v>
      </c>
      <c r="AA17" s="12">
        <f t="shared" si="2"/>
        <v>2945.4205607476633</v>
      </c>
    </row>
    <row r="18" spans="1:27">
      <c r="A18">
        <v>2010</v>
      </c>
      <c r="B18" s="13" t="s">
        <v>37</v>
      </c>
      <c r="C18" s="13" t="s">
        <v>38</v>
      </c>
      <c r="D18" s="12">
        <v>14.63</v>
      </c>
      <c r="E18" s="17">
        <f t="shared" si="0"/>
        <v>14630</v>
      </c>
      <c r="F18" s="12">
        <v>1387.7</v>
      </c>
      <c r="G18" s="7">
        <v>59.7</v>
      </c>
      <c r="H18" s="7">
        <v>110.5</v>
      </c>
      <c r="I18" s="12">
        <v>32.200000000000003</v>
      </c>
      <c r="J18" s="13" t="s">
        <v>34</v>
      </c>
      <c r="K18" s="13" t="s">
        <v>36</v>
      </c>
      <c r="L18">
        <v>18</v>
      </c>
      <c r="M18">
        <v>1260</v>
      </c>
      <c r="N18" s="15">
        <f>O18/100</f>
        <v>0.63900000000000001</v>
      </c>
      <c r="O18" s="14">
        <v>63.9</v>
      </c>
      <c r="P18">
        <v>65.7</v>
      </c>
      <c r="Q18">
        <v>0.09</v>
      </c>
      <c r="R18">
        <v>0.1</v>
      </c>
      <c r="S18">
        <v>0</v>
      </c>
      <c r="T18" s="15">
        <f t="shared" si="1"/>
        <v>6.0999999999999999E-2</v>
      </c>
      <c r="U18">
        <v>6.1</v>
      </c>
      <c r="V18">
        <v>20</v>
      </c>
      <c r="W18" s="12">
        <v>3.5</v>
      </c>
      <c r="X18" s="6">
        <v>452</v>
      </c>
      <c r="Y18" s="11">
        <f>VLOOKUP(B18,calculo!$C$5:$D$29,2,FALSE)</f>
        <v>0.10678689064536639</v>
      </c>
      <c r="Z18" s="11">
        <f>VLOOKUP(B18,calculo!$C$5:$E$29,3,FALSE)</f>
        <v>0.10206917065973053</v>
      </c>
      <c r="AA18" s="12">
        <f t="shared" si="2"/>
        <v>245.05862646566163</v>
      </c>
    </row>
    <row r="19" spans="1:27">
      <c r="A19">
        <v>2011</v>
      </c>
      <c r="B19" s="13" t="s">
        <v>37</v>
      </c>
      <c r="C19" s="13" t="s">
        <v>38</v>
      </c>
      <c r="D19" s="12">
        <v>16.190000000000001</v>
      </c>
      <c r="E19" s="17">
        <f t="shared" si="0"/>
        <v>16190.000000000002</v>
      </c>
      <c r="F19" s="12">
        <v>1204.8</v>
      </c>
      <c r="G19" s="7">
        <v>58.4</v>
      </c>
      <c r="H19" s="7">
        <v>133.6</v>
      </c>
      <c r="I19" s="12">
        <v>137</v>
      </c>
      <c r="J19" s="13" t="s">
        <v>35</v>
      </c>
      <c r="K19" s="13" t="s">
        <v>32</v>
      </c>
      <c r="L19">
        <v>31</v>
      </c>
      <c r="M19">
        <v>2356</v>
      </c>
      <c r="N19" s="15">
        <f>O19/100</f>
        <v>0.72199999999999998</v>
      </c>
      <c r="O19" s="14">
        <v>72.2</v>
      </c>
      <c r="P19">
        <v>39.6</v>
      </c>
      <c r="Q19">
        <v>0.03</v>
      </c>
      <c r="R19">
        <v>0.16</v>
      </c>
      <c r="S19">
        <v>0</v>
      </c>
      <c r="T19" s="15">
        <f t="shared" si="1"/>
        <v>0.10099999999999999</v>
      </c>
      <c r="U19">
        <v>10.1</v>
      </c>
      <c r="V19">
        <v>23</v>
      </c>
      <c r="W19" s="12">
        <v>10.8</v>
      </c>
      <c r="X19" s="6">
        <v>326</v>
      </c>
      <c r="Y19" s="11">
        <f>VLOOKUP(B19,calculo!$C$5:$D$29,2,FALSE)</f>
        <v>0.10678689064536639</v>
      </c>
      <c r="Z19" s="11">
        <f>VLOOKUP(B19,calculo!$C$5:$E$29,3,FALSE)</f>
        <v>0.10206917065973053</v>
      </c>
      <c r="AA19" s="12">
        <f t="shared" si="2"/>
        <v>277.22602739726034</v>
      </c>
    </row>
    <row r="20" spans="1:27">
      <c r="A20">
        <v>2012</v>
      </c>
      <c r="B20" s="13" t="s">
        <v>37</v>
      </c>
      <c r="C20" s="13" t="s">
        <v>38</v>
      </c>
      <c r="D20" s="12">
        <v>17.920000000000002</v>
      </c>
      <c r="E20" s="17">
        <f t="shared" si="0"/>
        <v>17920</v>
      </c>
      <c r="F20" s="12">
        <v>2273.6</v>
      </c>
      <c r="G20" s="7">
        <v>4.5</v>
      </c>
      <c r="H20" s="7">
        <v>15.8</v>
      </c>
      <c r="I20" s="12">
        <v>86.4</v>
      </c>
      <c r="J20" s="13" t="s">
        <v>31</v>
      </c>
      <c r="K20" s="13" t="s">
        <v>36</v>
      </c>
      <c r="L20">
        <v>50</v>
      </c>
      <c r="M20">
        <v>8300</v>
      </c>
      <c r="N20" s="15">
        <f>O20/100</f>
        <v>0.92900000000000005</v>
      </c>
      <c r="O20" s="14">
        <v>92.9</v>
      </c>
      <c r="P20">
        <v>49.8</v>
      </c>
      <c r="Q20">
        <v>0.24</v>
      </c>
      <c r="R20">
        <v>0.22</v>
      </c>
      <c r="S20">
        <v>0</v>
      </c>
      <c r="T20" s="15">
        <f t="shared" si="1"/>
        <v>0.13300000000000001</v>
      </c>
      <c r="U20">
        <v>13.3</v>
      </c>
      <c r="V20">
        <v>26</v>
      </c>
      <c r="W20" s="12">
        <v>18.5</v>
      </c>
      <c r="X20" s="6">
        <v>311</v>
      </c>
      <c r="Y20" s="11">
        <f>VLOOKUP(B20,calculo!$C$5:$D$29,2,FALSE)</f>
        <v>0.10678689064536639</v>
      </c>
      <c r="Z20" s="11">
        <f>VLOOKUP(B20,calculo!$C$5:$E$29,3,FALSE)</f>
        <v>0.10206917065973053</v>
      </c>
      <c r="AA20" s="12">
        <f t="shared" si="2"/>
        <v>3982.2222222222222</v>
      </c>
    </row>
    <row r="21" spans="1:27">
      <c r="A21">
        <v>2013</v>
      </c>
      <c r="B21" s="13" t="s">
        <v>37</v>
      </c>
      <c r="C21" s="13" t="s">
        <v>38</v>
      </c>
      <c r="D21" s="12">
        <v>19.84</v>
      </c>
      <c r="E21" s="17">
        <f t="shared" si="0"/>
        <v>19840</v>
      </c>
      <c r="F21" s="12">
        <v>1755.8</v>
      </c>
      <c r="G21" s="7">
        <v>51.4</v>
      </c>
      <c r="H21" s="7">
        <v>109.6</v>
      </c>
      <c r="I21" s="12">
        <v>50.3</v>
      </c>
      <c r="J21" s="13" t="s">
        <v>33</v>
      </c>
      <c r="K21" s="13" t="s">
        <v>32</v>
      </c>
      <c r="L21">
        <v>29</v>
      </c>
      <c r="M21">
        <v>8207</v>
      </c>
      <c r="N21" s="15">
        <f>O21/100</f>
        <v>0.75700000000000001</v>
      </c>
      <c r="O21" s="14">
        <v>75.7</v>
      </c>
      <c r="P21">
        <v>32.299999999999997</v>
      </c>
      <c r="Q21">
        <v>0.08</v>
      </c>
      <c r="R21">
        <v>0.28000000000000003</v>
      </c>
      <c r="S21">
        <v>0</v>
      </c>
      <c r="T21" s="15">
        <f t="shared" si="1"/>
        <v>0.16600000000000001</v>
      </c>
      <c r="U21">
        <v>16.600000000000001</v>
      </c>
      <c r="V21">
        <v>29</v>
      </c>
      <c r="W21" s="12">
        <v>11.1</v>
      </c>
      <c r="X21" s="6">
        <v>297</v>
      </c>
      <c r="Y21" s="11">
        <f>VLOOKUP(B21,calculo!$C$5:$D$29,2,FALSE)</f>
        <v>0.10678689064536639</v>
      </c>
      <c r="Z21" s="11">
        <f>VLOOKUP(B21,calculo!$C$5:$E$29,3,FALSE)</f>
        <v>0.10206917065973053</v>
      </c>
      <c r="AA21" s="12">
        <f t="shared" si="2"/>
        <v>385.99221789883268</v>
      </c>
    </row>
    <row r="22" spans="1:27">
      <c r="A22">
        <v>2014</v>
      </c>
      <c r="B22" s="13" t="s">
        <v>37</v>
      </c>
      <c r="C22" s="13" t="s">
        <v>38</v>
      </c>
      <c r="D22" s="12">
        <v>21.96</v>
      </c>
      <c r="E22" s="17">
        <f t="shared" si="0"/>
        <v>21960</v>
      </c>
      <c r="F22" s="12">
        <v>1655.8</v>
      </c>
      <c r="G22" s="7">
        <v>19.100000000000001</v>
      </c>
      <c r="H22" s="7">
        <v>41</v>
      </c>
      <c r="I22" s="12">
        <v>131.80000000000001</v>
      </c>
      <c r="J22" s="13" t="s">
        <v>29</v>
      </c>
      <c r="K22" s="13" t="s">
        <v>30</v>
      </c>
      <c r="L22">
        <v>13</v>
      </c>
      <c r="M22">
        <v>1196</v>
      </c>
      <c r="N22" s="15">
        <f>O22/100</f>
        <v>0.8640000000000001</v>
      </c>
      <c r="O22" s="14">
        <v>86.4</v>
      </c>
      <c r="P22">
        <v>85.8</v>
      </c>
      <c r="Q22">
        <v>0.04</v>
      </c>
      <c r="R22">
        <v>0.34</v>
      </c>
      <c r="S22">
        <v>0</v>
      </c>
      <c r="T22" s="15">
        <f t="shared" si="1"/>
        <v>0.19399999999999998</v>
      </c>
      <c r="U22">
        <v>19.399999999999999</v>
      </c>
      <c r="V22">
        <v>32</v>
      </c>
      <c r="W22" s="12">
        <v>4.3</v>
      </c>
      <c r="X22" s="6">
        <v>418</v>
      </c>
      <c r="Y22" s="11">
        <f>VLOOKUP(B22,calculo!$C$5:$D$29,2,FALSE)</f>
        <v>0.10678689064536639</v>
      </c>
      <c r="Z22" s="11">
        <f>VLOOKUP(B22,calculo!$C$5:$E$29,3,FALSE)</f>
        <v>0.10206917065973053</v>
      </c>
      <c r="AA22" s="12">
        <f t="shared" si="2"/>
        <v>1149.7382198952878</v>
      </c>
    </row>
    <row r="23" spans="1:27">
      <c r="A23">
        <v>2015</v>
      </c>
      <c r="B23" s="13" t="s">
        <v>37</v>
      </c>
      <c r="C23" s="13" t="s">
        <v>38</v>
      </c>
      <c r="D23" s="12">
        <v>24.3</v>
      </c>
      <c r="E23" s="17">
        <f t="shared" si="0"/>
        <v>24300</v>
      </c>
      <c r="F23" s="12">
        <v>1227.5999999999999</v>
      </c>
      <c r="G23" s="7">
        <v>38.4</v>
      </c>
      <c r="H23" s="7">
        <v>72.599999999999994</v>
      </c>
      <c r="I23" s="12">
        <v>38.5</v>
      </c>
      <c r="J23" s="13" t="s">
        <v>34</v>
      </c>
      <c r="K23" s="13" t="s">
        <v>32</v>
      </c>
      <c r="L23">
        <v>114</v>
      </c>
      <c r="M23">
        <v>22002</v>
      </c>
      <c r="N23" s="15">
        <f>O23/100</f>
        <v>0.51200000000000001</v>
      </c>
      <c r="O23" s="14">
        <v>51.2</v>
      </c>
      <c r="P23">
        <v>68.400000000000006</v>
      </c>
      <c r="Q23">
        <v>0.06</v>
      </c>
      <c r="R23">
        <v>0.4</v>
      </c>
      <c r="S23">
        <v>0</v>
      </c>
      <c r="T23" s="15">
        <f t="shared" si="1"/>
        <v>0.187</v>
      </c>
      <c r="U23">
        <v>18.7</v>
      </c>
      <c r="V23">
        <v>35</v>
      </c>
      <c r="W23" s="12">
        <v>18.5</v>
      </c>
      <c r="X23" s="6">
        <v>297</v>
      </c>
      <c r="Y23" s="11">
        <f>VLOOKUP(B23,calculo!$C$5:$D$29,2,FALSE)</f>
        <v>0.10678689064536639</v>
      </c>
      <c r="Z23" s="11">
        <f>VLOOKUP(B23,calculo!$C$5:$E$29,3,FALSE)</f>
        <v>0.10206917065973053</v>
      </c>
      <c r="AA23" s="12">
        <f t="shared" si="2"/>
        <v>632.8125</v>
      </c>
    </row>
    <row r="24" spans="1:27">
      <c r="A24">
        <v>2016</v>
      </c>
      <c r="B24" s="13" t="s">
        <v>37</v>
      </c>
      <c r="C24" s="13" t="s">
        <v>38</v>
      </c>
      <c r="D24" s="12">
        <v>26.89</v>
      </c>
      <c r="E24" s="17">
        <f t="shared" si="0"/>
        <v>26890</v>
      </c>
      <c r="F24" s="12">
        <v>2596.9</v>
      </c>
      <c r="G24" s="7">
        <v>33.5</v>
      </c>
      <c r="H24" s="7">
        <v>69.400000000000006</v>
      </c>
      <c r="I24" s="12">
        <v>100.9</v>
      </c>
      <c r="J24" s="13" t="s">
        <v>34</v>
      </c>
      <c r="K24" s="13" t="s">
        <v>36</v>
      </c>
      <c r="L24">
        <v>90</v>
      </c>
      <c r="M24">
        <v>8820</v>
      </c>
      <c r="N24" s="15">
        <f>O24/100</f>
        <v>0.73499999999999999</v>
      </c>
      <c r="O24" s="14">
        <v>73.5</v>
      </c>
      <c r="P24">
        <v>82.7</v>
      </c>
      <c r="Q24">
        <v>0.16</v>
      </c>
      <c r="R24">
        <v>0.46</v>
      </c>
      <c r="S24">
        <v>0</v>
      </c>
      <c r="T24" s="15">
        <f t="shared" si="1"/>
        <v>0.20199999999999999</v>
      </c>
      <c r="U24">
        <v>20.2</v>
      </c>
      <c r="V24">
        <v>38</v>
      </c>
      <c r="W24" s="12">
        <v>14.3</v>
      </c>
      <c r="X24" s="6">
        <v>117</v>
      </c>
      <c r="Y24" s="11">
        <f>VLOOKUP(B24,calculo!$C$5:$D$29,2,FALSE)</f>
        <v>0.10678689064536639</v>
      </c>
      <c r="Z24" s="11">
        <f>VLOOKUP(B24,calculo!$C$5:$E$29,3,FALSE)</f>
        <v>0.10206917065973053</v>
      </c>
      <c r="AA24" s="12">
        <f t="shared" si="2"/>
        <v>802.68656716417911</v>
      </c>
    </row>
    <row r="25" spans="1:27">
      <c r="A25">
        <v>2017</v>
      </c>
      <c r="B25" s="13" t="s">
        <v>37</v>
      </c>
      <c r="C25" s="13" t="s">
        <v>38</v>
      </c>
      <c r="D25" s="12">
        <v>29.77</v>
      </c>
      <c r="E25" s="17">
        <f t="shared" si="0"/>
        <v>29770</v>
      </c>
      <c r="F25" s="12">
        <v>1642.1</v>
      </c>
      <c r="G25" s="7">
        <v>32.799999999999997</v>
      </c>
      <c r="H25" s="7">
        <v>84.7</v>
      </c>
      <c r="I25" s="12">
        <v>106.5</v>
      </c>
      <c r="J25" s="13" t="s">
        <v>31</v>
      </c>
      <c r="K25" s="13" t="s">
        <v>30</v>
      </c>
      <c r="L25">
        <v>56</v>
      </c>
      <c r="M25">
        <v>10808</v>
      </c>
      <c r="N25" s="15">
        <f>O25/100</f>
        <v>0.64500000000000002</v>
      </c>
      <c r="O25" s="14">
        <v>64.5</v>
      </c>
      <c r="P25">
        <v>84.6</v>
      </c>
      <c r="Q25">
        <v>0.22</v>
      </c>
      <c r="R25">
        <v>0.52</v>
      </c>
      <c r="S25">
        <v>0</v>
      </c>
      <c r="T25" s="15">
        <f t="shared" si="1"/>
        <v>0.221</v>
      </c>
      <c r="U25">
        <v>22.1</v>
      </c>
      <c r="V25">
        <v>41</v>
      </c>
      <c r="W25" s="12">
        <v>22.1</v>
      </c>
      <c r="X25" s="6">
        <v>328</v>
      </c>
      <c r="Y25" s="11">
        <f>VLOOKUP(B25,calculo!$C$5:$D$29,2,FALSE)</f>
        <v>0.10678689064536639</v>
      </c>
      <c r="Z25" s="11">
        <f>VLOOKUP(B25,calculo!$C$5:$E$29,3,FALSE)</f>
        <v>0.10206917065973053</v>
      </c>
      <c r="AA25" s="12">
        <f t="shared" si="2"/>
        <v>907.62195121951231</v>
      </c>
    </row>
    <row r="26" spans="1:27">
      <c r="A26">
        <v>2018</v>
      </c>
      <c r="B26" s="13" t="s">
        <v>37</v>
      </c>
      <c r="C26" s="13" t="s">
        <v>38</v>
      </c>
      <c r="D26" s="12">
        <v>32.94</v>
      </c>
      <c r="E26" s="17">
        <f t="shared" si="0"/>
        <v>32940</v>
      </c>
      <c r="F26" s="12">
        <v>2473.6999999999998</v>
      </c>
      <c r="G26" s="7">
        <v>12.7</v>
      </c>
      <c r="H26" s="7">
        <v>21.1</v>
      </c>
      <c r="I26" s="12">
        <v>81.400000000000006</v>
      </c>
      <c r="J26" s="13" t="s">
        <v>33</v>
      </c>
      <c r="K26" s="13" t="s">
        <v>36</v>
      </c>
      <c r="L26">
        <v>16</v>
      </c>
      <c r="M26">
        <v>4704</v>
      </c>
      <c r="N26" s="15">
        <f>O26/100</f>
        <v>0.69900000000000007</v>
      </c>
      <c r="O26" s="14">
        <v>69.900000000000006</v>
      </c>
      <c r="P26">
        <v>43</v>
      </c>
      <c r="Q26">
        <v>0.42</v>
      </c>
      <c r="R26">
        <v>0.57999999999999996</v>
      </c>
      <c r="S26">
        <v>0</v>
      </c>
      <c r="T26" s="15">
        <f t="shared" si="1"/>
        <v>0.22500000000000001</v>
      </c>
      <c r="U26">
        <v>22.5</v>
      </c>
      <c r="V26">
        <v>44</v>
      </c>
      <c r="W26" s="12">
        <v>2.6</v>
      </c>
      <c r="X26" s="6">
        <v>127</v>
      </c>
      <c r="Y26" s="11">
        <f>VLOOKUP(B26,calculo!$C$5:$D$29,2,FALSE)</f>
        <v>0.10678689064536639</v>
      </c>
      <c r="Z26" s="11">
        <f>VLOOKUP(B26,calculo!$C$5:$E$29,3,FALSE)</f>
        <v>0.10206917065973053</v>
      </c>
      <c r="AA26" s="12">
        <f t="shared" si="2"/>
        <v>2593.7007874015749</v>
      </c>
    </row>
    <row r="27" spans="1:27">
      <c r="A27">
        <v>2019</v>
      </c>
      <c r="B27" s="13" t="s">
        <v>37</v>
      </c>
      <c r="C27" s="13" t="s">
        <v>38</v>
      </c>
      <c r="D27" s="12">
        <v>36.46</v>
      </c>
      <c r="E27" s="17">
        <f t="shared" si="0"/>
        <v>36460</v>
      </c>
      <c r="F27" s="12">
        <v>2843.9</v>
      </c>
      <c r="G27" s="7">
        <v>57.4</v>
      </c>
      <c r="H27" s="7">
        <v>170.8</v>
      </c>
      <c r="I27" s="12">
        <v>96.5</v>
      </c>
      <c r="J27" s="13" t="s">
        <v>31</v>
      </c>
      <c r="K27" s="13" t="s">
        <v>30</v>
      </c>
      <c r="L27">
        <v>26</v>
      </c>
      <c r="M27">
        <v>3692</v>
      </c>
      <c r="N27" s="15">
        <f>O27/100</f>
        <v>0.66</v>
      </c>
      <c r="O27" s="14">
        <v>66</v>
      </c>
      <c r="P27">
        <v>81.8</v>
      </c>
      <c r="Q27">
        <v>0.47</v>
      </c>
      <c r="R27">
        <v>0.64</v>
      </c>
      <c r="S27">
        <v>0</v>
      </c>
      <c r="T27" s="15">
        <f t="shared" si="1"/>
        <v>0.27500000000000002</v>
      </c>
      <c r="U27">
        <v>27.5</v>
      </c>
      <c r="V27">
        <v>47</v>
      </c>
      <c r="W27" s="12">
        <v>6.6</v>
      </c>
      <c r="X27" s="6">
        <v>194</v>
      </c>
      <c r="Y27" s="11">
        <f>VLOOKUP(B27,calculo!$C$5:$D$29,2,FALSE)</f>
        <v>0.10678689064536639</v>
      </c>
      <c r="Z27" s="11">
        <f>VLOOKUP(B27,calculo!$C$5:$E$29,3,FALSE)</f>
        <v>0.10206917065973053</v>
      </c>
      <c r="AA27" s="12">
        <f t="shared" si="2"/>
        <v>635.19163763066206</v>
      </c>
    </row>
    <row r="28" spans="1:27">
      <c r="A28">
        <v>2020</v>
      </c>
      <c r="B28" s="13" t="s">
        <v>37</v>
      </c>
      <c r="C28" s="13" t="s">
        <v>38</v>
      </c>
      <c r="D28" s="12">
        <v>40.36</v>
      </c>
      <c r="E28" s="17">
        <f t="shared" si="0"/>
        <v>40360</v>
      </c>
      <c r="F28" s="12">
        <v>3415.4</v>
      </c>
      <c r="G28" s="7">
        <v>29</v>
      </c>
      <c r="H28" s="7">
        <v>81</v>
      </c>
      <c r="I28" s="12">
        <v>35.799999999999997</v>
      </c>
      <c r="J28" s="13" t="s">
        <v>33</v>
      </c>
      <c r="K28" s="13" t="s">
        <v>30</v>
      </c>
      <c r="L28">
        <v>73</v>
      </c>
      <c r="M28">
        <v>10877</v>
      </c>
      <c r="N28" s="15">
        <f>O28/100</f>
        <v>0.92</v>
      </c>
      <c r="O28" s="14">
        <v>92</v>
      </c>
      <c r="P28">
        <v>62.6</v>
      </c>
      <c r="Q28">
        <v>0.53</v>
      </c>
      <c r="R28">
        <v>1.04</v>
      </c>
      <c r="S28">
        <v>0.34</v>
      </c>
      <c r="T28" s="15">
        <f t="shared" si="1"/>
        <v>0.27899999999999997</v>
      </c>
      <c r="U28">
        <v>27.9</v>
      </c>
      <c r="V28">
        <v>50</v>
      </c>
      <c r="W28" s="12">
        <v>11.8</v>
      </c>
      <c r="X28" s="6">
        <v>334</v>
      </c>
      <c r="Y28" s="11">
        <f>VLOOKUP(B28,calculo!$C$5:$D$29,2,FALSE)</f>
        <v>0.10678689064536639</v>
      </c>
      <c r="Z28" s="11">
        <f>VLOOKUP(B28,calculo!$C$5:$E$29,3,FALSE)</f>
        <v>0.10206917065973053</v>
      </c>
      <c r="AA28" s="12">
        <f t="shared" si="2"/>
        <v>1391.7241379310344</v>
      </c>
    </row>
    <row r="29" spans="1:27">
      <c r="A29">
        <v>2021</v>
      </c>
      <c r="B29" s="13" t="s">
        <v>37</v>
      </c>
      <c r="C29" s="13" t="s">
        <v>38</v>
      </c>
      <c r="D29" s="12">
        <v>44.67</v>
      </c>
      <c r="E29" s="17">
        <f t="shared" si="0"/>
        <v>44670</v>
      </c>
      <c r="F29" s="12">
        <v>6450.9</v>
      </c>
      <c r="G29" s="7">
        <v>52.3</v>
      </c>
      <c r="H29" s="7">
        <v>145</v>
      </c>
      <c r="I29" s="12">
        <v>126.1</v>
      </c>
      <c r="J29" s="13" t="s">
        <v>35</v>
      </c>
      <c r="K29" s="13" t="s">
        <v>36</v>
      </c>
      <c r="L29">
        <v>16</v>
      </c>
      <c r="M29">
        <v>3632</v>
      </c>
      <c r="N29" s="15">
        <f>O29/100</f>
        <v>0.86499999999999999</v>
      </c>
      <c r="O29" s="14">
        <v>86.5</v>
      </c>
      <c r="P29">
        <v>86.5</v>
      </c>
      <c r="Q29">
        <v>0.61</v>
      </c>
      <c r="R29">
        <v>1.23</v>
      </c>
      <c r="S29">
        <v>0.47</v>
      </c>
      <c r="T29" s="15">
        <f t="shared" si="1"/>
        <v>0.28600000000000003</v>
      </c>
      <c r="U29">
        <v>28.6</v>
      </c>
      <c r="V29">
        <v>53</v>
      </c>
      <c r="W29" s="12">
        <v>4.7</v>
      </c>
      <c r="X29" s="6">
        <v>277</v>
      </c>
      <c r="Y29" s="11">
        <f>VLOOKUP(B29,calculo!$C$5:$D$29,2,FALSE)</f>
        <v>0.10678689064536639</v>
      </c>
      <c r="Z29" s="11">
        <f>VLOOKUP(B29,calculo!$C$5:$E$29,3,FALSE)</f>
        <v>0.10206917065973053</v>
      </c>
      <c r="AA29" s="12">
        <f t="shared" si="2"/>
        <v>854.11089866156794</v>
      </c>
    </row>
    <row r="30" spans="1:27">
      <c r="A30">
        <v>2022</v>
      </c>
      <c r="B30" s="13" t="s">
        <v>37</v>
      </c>
      <c r="C30" s="13" t="s">
        <v>38</v>
      </c>
      <c r="D30" s="12">
        <v>49.44</v>
      </c>
      <c r="E30" s="17">
        <f t="shared" si="0"/>
        <v>49440</v>
      </c>
      <c r="F30" s="12">
        <v>6947.4</v>
      </c>
      <c r="G30" s="7">
        <v>13.4</v>
      </c>
      <c r="H30" s="7">
        <v>21.9</v>
      </c>
      <c r="I30" s="12">
        <v>42.1</v>
      </c>
      <c r="J30" s="13" t="s">
        <v>35</v>
      </c>
      <c r="K30" s="13" t="s">
        <v>30</v>
      </c>
      <c r="L30">
        <v>6</v>
      </c>
      <c r="M30">
        <v>1752</v>
      </c>
      <c r="N30" s="15">
        <f>O30/100</f>
        <v>0.64400000000000002</v>
      </c>
      <c r="O30" s="14">
        <v>64.400000000000006</v>
      </c>
      <c r="P30">
        <v>88.4</v>
      </c>
      <c r="Q30">
        <v>0.68</v>
      </c>
      <c r="R30">
        <v>0.82</v>
      </c>
      <c r="S30">
        <v>0</v>
      </c>
      <c r="T30" s="15">
        <f t="shared" si="1"/>
        <v>0.29799999999999999</v>
      </c>
      <c r="U30">
        <v>29.8</v>
      </c>
      <c r="V30">
        <v>56</v>
      </c>
      <c r="W30" s="12">
        <v>1.8</v>
      </c>
      <c r="X30" s="6">
        <v>99</v>
      </c>
      <c r="Y30" s="11">
        <f>VLOOKUP(B30,calculo!$C$5:$D$29,2,FALSE)</f>
        <v>0.10678689064536639</v>
      </c>
      <c r="Z30" s="11">
        <f>VLOOKUP(B30,calculo!$C$5:$E$29,3,FALSE)</f>
        <v>0.10206917065973053</v>
      </c>
      <c r="AA30" s="12">
        <f t="shared" si="2"/>
        <v>3689.5522388059699</v>
      </c>
    </row>
    <row r="31" spans="1:27">
      <c r="A31">
        <v>2023</v>
      </c>
      <c r="B31" s="13" t="s">
        <v>37</v>
      </c>
      <c r="C31" s="13" t="s">
        <v>38</v>
      </c>
      <c r="D31" s="12">
        <v>54.71</v>
      </c>
      <c r="E31" s="17">
        <f t="shared" si="0"/>
        <v>54710</v>
      </c>
      <c r="F31" s="12">
        <v>5449.8</v>
      </c>
      <c r="G31" s="7">
        <v>42.2</v>
      </c>
      <c r="H31" s="7">
        <v>92.7</v>
      </c>
      <c r="I31" s="12">
        <v>142.4</v>
      </c>
      <c r="J31" s="13" t="s">
        <v>35</v>
      </c>
      <c r="K31" s="13" t="s">
        <v>30</v>
      </c>
      <c r="L31">
        <v>40</v>
      </c>
      <c r="M31">
        <v>10640</v>
      </c>
      <c r="N31" s="15">
        <f>O31/100</f>
        <v>0.69099999999999995</v>
      </c>
      <c r="O31" s="14">
        <v>69.099999999999994</v>
      </c>
      <c r="P31">
        <v>67.599999999999994</v>
      </c>
      <c r="Q31">
        <v>0.68</v>
      </c>
      <c r="R31">
        <v>0.88</v>
      </c>
      <c r="S31">
        <v>0</v>
      </c>
      <c r="T31" s="15">
        <f t="shared" si="1"/>
        <v>0.3</v>
      </c>
      <c r="U31">
        <v>30</v>
      </c>
      <c r="V31">
        <v>59</v>
      </c>
      <c r="W31" s="12">
        <v>14</v>
      </c>
      <c r="X31" s="6">
        <v>236</v>
      </c>
      <c r="Y31" s="11">
        <f>VLOOKUP(B31,calculo!$C$5:$D$29,2,FALSE)</f>
        <v>0.10678689064536639</v>
      </c>
      <c r="Z31" s="11">
        <f>VLOOKUP(B31,calculo!$C$5:$E$29,3,FALSE)</f>
        <v>0.10206917065973053</v>
      </c>
      <c r="AA31" s="12">
        <f t="shared" si="2"/>
        <v>1296.4454976303316</v>
      </c>
    </row>
    <row r="32" spans="1:27">
      <c r="A32">
        <v>2024</v>
      </c>
      <c r="B32" s="13" t="s">
        <v>37</v>
      </c>
      <c r="C32" s="13" t="s">
        <v>38</v>
      </c>
      <c r="D32" s="12">
        <v>60.56</v>
      </c>
      <c r="E32" s="17">
        <f t="shared" si="0"/>
        <v>60560</v>
      </c>
      <c r="F32" s="12">
        <v>5280.7</v>
      </c>
      <c r="G32" s="7">
        <v>47</v>
      </c>
      <c r="H32" s="7">
        <v>102.6</v>
      </c>
      <c r="I32" s="12">
        <v>141.69999999999999</v>
      </c>
      <c r="J32" s="13" t="s">
        <v>29</v>
      </c>
      <c r="K32" s="13" t="s">
        <v>32</v>
      </c>
      <c r="L32">
        <v>41</v>
      </c>
      <c r="M32">
        <v>2501</v>
      </c>
      <c r="N32" s="15">
        <f>O32/100</f>
        <v>0.84</v>
      </c>
      <c r="O32" s="14">
        <v>84</v>
      </c>
      <c r="P32">
        <v>32.700000000000003</v>
      </c>
      <c r="Q32">
        <v>0.82</v>
      </c>
      <c r="R32">
        <v>0.94</v>
      </c>
      <c r="S32">
        <v>0</v>
      </c>
      <c r="T32" s="15">
        <f t="shared" si="1"/>
        <v>0.33600000000000002</v>
      </c>
      <c r="U32">
        <v>33.6</v>
      </c>
      <c r="V32">
        <v>62</v>
      </c>
      <c r="W32" s="12">
        <v>10.5</v>
      </c>
      <c r="X32" s="6">
        <v>282</v>
      </c>
      <c r="Y32" s="11">
        <f>VLOOKUP(B32,calculo!$C$5:$D$29,2,FALSE)</f>
        <v>0.10678689064536639</v>
      </c>
      <c r="Z32" s="11">
        <f>VLOOKUP(B32,calculo!$C$5:$E$29,3,FALSE)</f>
        <v>0.10206917065973053</v>
      </c>
      <c r="AA32" s="12">
        <f t="shared" si="2"/>
        <v>1288.5106382978724</v>
      </c>
    </row>
    <row r="33" spans="1:27">
      <c r="A33">
        <v>2025</v>
      </c>
      <c r="B33" s="13" t="s">
        <v>37</v>
      </c>
      <c r="C33" s="13" t="s">
        <v>38</v>
      </c>
      <c r="D33" s="12">
        <v>67.02</v>
      </c>
      <c r="E33" s="17">
        <f t="shared" si="0"/>
        <v>67020</v>
      </c>
      <c r="F33" s="12">
        <v>5962.5</v>
      </c>
      <c r="G33" s="7">
        <v>19.3</v>
      </c>
      <c r="H33" s="7">
        <v>32.700000000000003</v>
      </c>
      <c r="I33" s="12">
        <v>36.4</v>
      </c>
      <c r="J33" s="13" t="s">
        <v>35</v>
      </c>
      <c r="K33" s="13" t="s">
        <v>32</v>
      </c>
      <c r="L33">
        <v>65</v>
      </c>
      <c r="M33">
        <v>18330</v>
      </c>
      <c r="N33" s="15">
        <f>O33/100</f>
        <v>0.93099999999999994</v>
      </c>
      <c r="O33" s="14">
        <v>93.1</v>
      </c>
      <c r="P33">
        <v>75.8</v>
      </c>
      <c r="Q33">
        <v>0.88</v>
      </c>
      <c r="R33">
        <v>1</v>
      </c>
      <c r="S33">
        <v>0</v>
      </c>
      <c r="T33" s="15">
        <f t="shared" si="1"/>
        <v>0.41499999999999998</v>
      </c>
      <c r="U33">
        <v>41.5</v>
      </c>
      <c r="V33">
        <v>65</v>
      </c>
      <c r="W33" s="12">
        <v>23.5</v>
      </c>
      <c r="X33" s="6">
        <v>61</v>
      </c>
      <c r="Y33" s="11">
        <f>VLOOKUP(B33,calculo!$C$5:$D$29,2,FALSE)</f>
        <v>0.10678689064536639</v>
      </c>
      <c r="Z33" s="11">
        <f>VLOOKUP(B33,calculo!$C$5:$E$29,3,FALSE)</f>
        <v>0.10206917065973053</v>
      </c>
      <c r="AA33" s="12">
        <f t="shared" si="2"/>
        <v>3472.538860103627</v>
      </c>
    </row>
    <row r="34" spans="1:27">
      <c r="A34">
        <v>2010</v>
      </c>
      <c r="B34" s="13" t="s">
        <v>39</v>
      </c>
      <c r="C34" s="13" t="s">
        <v>38</v>
      </c>
      <c r="D34" s="12">
        <v>9.0299999999999994</v>
      </c>
      <c r="E34" s="17">
        <f t="shared" si="0"/>
        <v>9030</v>
      </c>
      <c r="F34" s="12">
        <v>748.1</v>
      </c>
      <c r="G34" s="7">
        <v>41</v>
      </c>
      <c r="H34" s="7">
        <v>123.2</v>
      </c>
      <c r="I34" s="12">
        <v>125</v>
      </c>
      <c r="J34" s="13" t="s">
        <v>33</v>
      </c>
      <c r="K34" s="13" t="s">
        <v>30</v>
      </c>
      <c r="L34">
        <v>61</v>
      </c>
      <c r="M34">
        <v>5368</v>
      </c>
      <c r="N34" s="15">
        <f>O34/100</f>
        <v>0.52600000000000002</v>
      </c>
      <c r="O34" s="14">
        <v>52.6</v>
      </c>
      <c r="P34">
        <v>66.2</v>
      </c>
      <c r="Q34">
        <v>0.01</v>
      </c>
      <c r="R34">
        <v>0.1</v>
      </c>
      <c r="S34">
        <v>0</v>
      </c>
      <c r="T34" s="15">
        <f t="shared" si="1"/>
        <v>9.0999999999999998E-2</v>
      </c>
      <c r="U34">
        <v>9.1</v>
      </c>
      <c r="V34">
        <v>20</v>
      </c>
      <c r="W34" s="12">
        <v>10.5</v>
      </c>
      <c r="X34" s="6">
        <v>142</v>
      </c>
      <c r="Y34" s="11">
        <f>VLOOKUP(B34,calculo!$C$5:$D$29,2,FALSE)</f>
        <v>0.17634741332561998</v>
      </c>
      <c r="Z34" s="11">
        <f>VLOOKUP(B34,calculo!$C$5:$E$29,3,FALSE)</f>
        <v>0.21788854984795458</v>
      </c>
      <c r="AA34" s="12">
        <f t="shared" si="2"/>
        <v>220.2439024390244</v>
      </c>
    </row>
    <row r="35" spans="1:27">
      <c r="A35">
        <v>2011</v>
      </c>
      <c r="B35" s="13" t="s">
        <v>39</v>
      </c>
      <c r="C35" s="13" t="s">
        <v>38</v>
      </c>
      <c r="D35" s="12">
        <v>10.62</v>
      </c>
      <c r="E35" s="17">
        <f t="shared" si="0"/>
        <v>10620</v>
      </c>
      <c r="F35" s="12">
        <v>1280.5999999999999</v>
      </c>
      <c r="G35" s="7">
        <v>58.2</v>
      </c>
      <c r="H35" s="7">
        <v>167.3</v>
      </c>
      <c r="I35" s="12">
        <v>130.4</v>
      </c>
      <c r="J35" s="13" t="s">
        <v>29</v>
      </c>
      <c r="K35" s="13" t="s">
        <v>30</v>
      </c>
      <c r="L35">
        <v>21</v>
      </c>
      <c r="M35">
        <v>5859</v>
      </c>
      <c r="N35" s="15">
        <f>O35/100</f>
        <v>0.67799999999999994</v>
      </c>
      <c r="O35" s="14">
        <v>67.8</v>
      </c>
      <c r="P35">
        <v>91.9</v>
      </c>
      <c r="Q35">
        <v>0.12</v>
      </c>
      <c r="R35">
        <v>0.16</v>
      </c>
      <c r="S35">
        <v>0</v>
      </c>
      <c r="T35" s="15">
        <f t="shared" si="1"/>
        <v>0.15</v>
      </c>
      <c r="U35">
        <v>15</v>
      </c>
      <c r="V35">
        <v>23</v>
      </c>
      <c r="W35" s="12">
        <v>3.6</v>
      </c>
      <c r="X35" s="6">
        <v>203</v>
      </c>
      <c r="Y35" s="11">
        <f>VLOOKUP(B35,calculo!$C$5:$D$29,2,FALSE)</f>
        <v>0.17634741332561998</v>
      </c>
      <c r="Z35" s="11">
        <f>VLOOKUP(B35,calculo!$C$5:$E$29,3,FALSE)</f>
        <v>0.21788854984795458</v>
      </c>
      <c r="AA35" s="12">
        <f t="shared" si="2"/>
        <v>182.4742268041237</v>
      </c>
    </row>
    <row r="36" spans="1:27">
      <c r="A36">
        <v>2012</v>
      </c>
      <c r="B36" s="13" t="s">
        <v>39</v>
      </c>
      <c r="C36" s="13" t="s">
        <v>38</v>
      </c>
      <c r="D36" s="12">
        <v>12.49</v>
      </c>
      <c r="E36" s="17">
        <f t="shared" si="0"/>
        <v>12490</v>
      </c>
      <c r="F36" s="12">
        <v>1808.1</v>
      </c>
      <c r="G36" s="7">
        <v>59.2</v>
      </c>
      <c r="H36" s="7">
        <v>178</v>
      </c>
      <c r="I36" s="12">
        <v>75.2</v>
      </c>
      <c r="J36" s="13" t="s">
        <v>34</v>
      </c>
      <c r="K36" s="13" t="s">
        <v>30</v>
      </c>
      <c r="L36">
        <v>35</v>
      </c>
      <c r="M36">
        <v>2380</v>
      </c>
      <c r="N36" s="15">
        <f>O36/100</f>
        <v>0.90799999999999992</v>
      </c>
      <c r="O36" s="14">
        <v>90.8</v>
      </c>
      <c r="P36">
        <v>33.299999999999997</v>
      </c>
      <c r="Q36">
        <v>0.16</v>
      </c>
      <c r="R36">
        <v>0.22</v>
      </c>
      <c r="S36">
        <v>0</v>
      </c>
      <c r="T36" s="15">
        <f t="shared" si="1"/>
        <v>0.124</v>
      </c>
      <c r="U36">
        <v>12.4</v>
      </c>
      <c r="V36">
        <v>26</v>
      </c>
      <c r="W36" s="12">
        <v>12.1</v>
      </c>
      <c r="X36" s="6">
        <v>460</v>
      </c>
      <c r="Y36" s="11">
        <f>VLOOKUP(B36,calculo!$C$5:$D$29,2,FALSE)</f>
        <v>0.17634741332561998</v>
      </c>
      <c r="Z36" s="11">
        <f>VLOOKUP(B36,calculo!$C$5:$E$29,3,FALSE)</f>
        <v>0.21788854984795458</v>
      </c>
      <c r="AA36" s="12">
        <f t="shared" si="2"/>
        <v>210.97972972972971</v>
      </c>
    </row>
    <row r="37" spans="1:27">
      <c r="A37">
        <v>2013</v>
      </c>
      <c r="B37" s="13" t="s">
        <v>39</v>
      </c>
      <c r="C37" s="13" t="s">
        <v>38</v>
      </c>
      <c r="D37" s="12">
        <v>14.7</v>
      </c>
      <c r="E37" s="17">
        <f t="shared" si="0"/>
        <v>14700</v>
      </c>
      <c r="F37" s="12">
        <v>1574.7</v>
      </c>
      <c r="G37" s="7">
        <v>45</v>
      </c>
      <c r="H37" s="7">
        <v>136.5</v>
      </c>
      <c r="I37" s="12">
        <v>128.69999999999999</v>
      </c>
      <c r="J37" s="13" t="s">
        <v>31</v>
      </c>
      <c r="K37" s="13" t="s">
        <v>30</v>
      </c>
      <c r="L37">
        <v>43</v>
      </c>
      <c r="M37">
        <v>2150</v>
      </c>
      <c r="N37" s="15">
        <f>O37/100</f>
        <v>0.68</v>
      </c>
      <c r="O37" s="14">
        <v>68</v>
      </c>
      <c r="P37">
        <v>60.8</v>
      </c>
      <c r="Q37">
        <v>7.0000000000000007E-2</v>
      </c>
      <c r="R37">
        <v>0.28000000000000003</v>
      </c>
      <c r="S37">
        <v>0</v>
      </c>
      <c r="T37" s="15">
        <f t="shared" si="1"/>
        <v>0.12</v>
      </c>
      <c r="U37">
        <v>12</v>
      </c>
      <c r="V37">
        <v>29</v>
      </c>
      <c r="W37" s="12">
        <v>13.8</v>
      </c>
      <c r="X37" s="6">
        <v>418</v>
      </c>
      <c r="Y37" s="11">
        <f>VLOOKUP(B37,calculo!$C$5:$D$29,2,FALSE)</f>
        <v>0.17634741332561998</v>
      </c>
      <c r="Z37" s="11">
        <f>VLOOKUP(B37,calculo!$C$5:$E$29,3,FALSE)</f>
        <v>0.21788854984795458</v>
      </c>
      <c r="AA37" s="12">
        <f t="shared" si="2"/>
        <v>326.66666666666669</v>
      </c>
    </row>
    <row r="38" spans="1:27">
      <c r="A38">
        <v>2014</v>
      </c>
      <c r="B38" s="13" t="s">
        <v>39</v>
      </c>
      <c r="C38" s="13" t="s">
        <v>38</v>
      </c>
      <c r="D38" s="12">
        <v>17.29</v>
      </c>
      <c r="E38" s="17">
        <f t="shared" si="0"/>
        <v>17290</v>
      </c>
      <c r="F38" s="12">
        <v>2529.8000000000002</v>
      </c>
      <c r="G38" s="7">
        <v>2.7</v>
      </c>
      <c r="H38" s="7">
        <v>9.3000000000000007</v>
      </c>
      <c r="I38" s="12">
        <v>35.200000000000003</v>
      </c>
      <c r="J38" s="13" t="s">
        <v>34</v>
      </c>
      <c r="K38" s="13" t="s">
        <v>36</v>
      </c>
      <c r="L38">
        <v>25</v>
      </c>
      <c r="M38">
        <v>3225</v>
      </c>
      <c r="N38" s="15">
        <f>O38/100</f>
        <v>0.61399999999999999</v>
      </c>
      <c r="O38" s="14">
        <v>61.4</v>
      </c>
      <c r="P38">
        <v>77.2</v>
      </c>
      <c r="Q38">
        <v>0.08</v>
      </c>
      <c r="R38">
        <v>0.34</v>
      </c>
      <c r="S38">
        <v>0</v>
      </c>
      <c r="T38" s="15">
        <f t="shared" si="1"/>
        <v>0.17600000000000002</v>
      </c>
      <c r="U38">
        <v>17.600000000000001</v>
      </c>
      <c r="V38">
        <v>32</v>
      </c>
      <c r="W38" s="12">
        <v>7</v>
      </c>
      <c r="X38" s="6">
        <v>450</v>
      </c>
      <c r="Y38" s="11">
        <f>VLOOKUP(B38,calculo!$C$5:$D$29,2,FALSE)</f>
        <v>0.17634741332561998</v>
      </c>
      <c r="Z38" s="11">
        <f>VLOOKUP(B38,calculo!$C$5:$E$29,3,FALSE)</f>
        <v>0.21788854984795458</v>
      </c>
      <c r="AA38" s="12">
        <f t="shared" si="2"/>
        <v>6403.7037037037035</v>
      </c>
    </row>
    <row r="39" spans="1:27">
      <c r="A39">
        <v>2015</v>
      </c>
      <c r="B39" s="13" t="s">
        <v>39</v>
      </c>
      <c r="C39" s="13" t="s">
        <v>38</v>
      </c>
      <c r="D39" s="12">
        <v>20.34</v>
      </c>
      <c r="E39" s="17">
        <f t="shared" si="0"/>
        <v>20340</v>
      </c>
      <c r="F39" s="12">
        <v>2431.9</v>
      </c>
      <c r="G39" s="7">
        <v>28.4</v>
      </c>
      <c r="H39" s="7">
        <v>78.099999999999994</v>
      </c>
      <c r="I39" s="12">
        <v>100.1</v>
      </c>
      <c r="J39" s="13" t="s">
        <v>31</v>
      </c>
      <c r="K39" s="13" t="s">
        <v>30</v>
      </c>
      <c r="L39">
        <v>20</v>
      </c>
      <c r="M39">
        <v>5280</v>
      </c>
      <c r="N39" s="15">
        <f>O39/100</f>
        <v>0.92799999999999994</v>
      </c>
      <c r="O39" s="14">
        <v>92.8</v>
      </c>
      <c r="P39">
        <v>91.8</v>
      </c>
      <c r="Q39">
        <v>0.21</v>
      </c>
      <c r="R39">
        <v>0.4</v>
      </c>
      <c r="S39">
        <v>0</v>
      </c>
      <c r="T39" s="15">
        <f t="shared" si="1"/>
        <v>0.191</v>
      </c>
      <c r="U39">
        <v>19.100000000000001</v>
      </c>
      <c r="V39">
        <v>35</v>
      </c>
      <c r="W39" s="12">
        <v>3.2</v>
      </c>
      <c r="X39" s="6">
        <v>469</v>
      </c>
      <c r="Y39" s="11">
        <f>VLOOKUP(B39,calculo!$C$5:$D$29,2,FALSE)</f>
        <v>0.17634741332561998</v>
      </c>
      <c r="Z39" s="11">
        <f>VLOOKUP(B39,calculo!$C$5:$E$29,3,FALSE)</f>
        <v>0.21788854984795458</v>
      </c>
      <c r="AA39" s="12">
        <f t="shared" si="2"/>
        <v>716.19718309859161</v>
      </c>
    </row>
    <row r="40" spans="1:27">
      <c r="A40">
        <v>2016</v>
      </c>
      <c r="B40" s="13" t="s">
        <v>39</v>
      </c>
      <c r="C40" s="13" t="s">
        <v>38</v>
      </c>
      <c r="D40" s="12">
        <v>23.93</v>
      </c>
      <c r="E40" s="17">
        <f t="shared" si="0"/>
        <v>23930</v>
      </c>
      <c r="F40" s="12">
        <v>1602.2</v>
      </c>
      <c r="G40" s="7">
        <v>39.5</v>
      </c>
      <c r="H40" s="7">
        <v>90</v>
      </c>
      <c r="I40" s="12">
        <v>57.5</v>
      </c>
      <c r="J40" s="13" t="s">
        <v>31</v>
      </c>
      <c r="K40" s="13" t="s">
        <v>32</v>
      </c>
      <c r="L40">
        <v>32</v>
      </c>
      <c r="M40">
        <v>8608</v>
      </c>
      <c r="N40" s="15">
        <f>O40/100</f>
        <v>0.81400000000000006</v>
      </c>
      <c r="O40" s="14">
        <v>81.400000000000006</v>
      </c>
      <c r="P40">
        <v>65.2</v>
      </c>
      <c r="Q40">
        <v>0.16</v>
      </c>
      <c r="R40">
        <v>0.46</v>
      </c>
      <c r="S40">
        <v>0</v>
      </c>
      <c r="T40" s="15">
        <f t="shared" si="1"/>
        <v>0.185</v>
      </c>
      <c r="U40">
        <v>18.5</v>
      </c>
      <c r="V40">
        <v>38</v>
      </c>
      <c r="W40" s="12">
        <v>7.7</v>
      </c>
      <c r="X40" s="6">
        <v>426</v>
      </c>
      <c r="Y40" s="11">
        <f>VLOOKUP(B40,calculo!$C$5:$D$29,2,FALSE)</f>
        <v>0.17634741332561998</v>
      </c>
      <c r="Z40" s="11">
        <f>VLOOKUP(B40,calculo!$C$5:$E$29,3,FALSE)</f>
        <v>0.21788854984795458</v>
      </c>
      <c r="AA40" s="12">
        <f t="shared" si="2"/>
        <v>605.82278481012656</v>
      </c>
    </row>
    <row r="41" spans="1:27">
      <c r="A41">
        <v>2017</v>
      </c>
      <c r="B41" s="13" t="s">
        <v>39</v>
      </c>
      <c r="C41" s="13" t="s">
        <v>38</v>
      </c>
      <c r="D41" s="12">
        <v>28.14</v>
      </c>
      <c r="E41" s="17">
        <f t="shared" si="0"/>
        <v>28140</v>
      </c>
      <c r="F41" s="12">
        <v>2169.8000000000002</v>
      </c>
      <c r="G41" s="7">
        <v>9.6999999999999993</v>
      </c>
      <c r="H41" s="7">
        <v>16.100000000000001</v>
      </c>
      <c r="I41" s="12">
        <v>142.9</v>
      </c>
      <c r="J41" s="13" t="s">
        <v>33</v>
      </c>
      <c r="K41" s="13" t="s">
        <v>30</v>
      </c>
      <c r="L41">
        <v>119</v>
      </c>
      <c r="M41">
        <v>29274</v>
      </c>
      <c r="N41" s="15">
        <f>O41/100</f>
        <v>0.92</v>
      </c>
      <c r="O41" s="14">
        <v>92</v>
      </c>
      <c r="P41">
        <v>90</v>
      </c>
      <c r="Q41">
        <v>0.35</v>
      </c>
      <c r="R41">
        <v>0.52</v>
      </c>
      <c r="S41">
        <v>0</v>
      </c>
      <c r="T41" s="15">
        <f t="shared" si="1"/>
        <v>0.187</v>
      </c>
      <c r="U41">
        <v>18.7</v>
      </c>
      <c r="V41">
        <v>41</v>
      </c>
      <c r="W41" s="12">
        <v>36.1</v>
      </c>
      <c r="X41" s="6">
        <v>374</v>
      </c>
      <c r="Y41" s="11">
        <f>VLOOKUP(B41,calculo!$C$5:$D$29,2,FALSE)</f>
        <v>0.17634741332561998</v>
      </c>
      <c r="Z41" s="11">
        <f>VLOOKUP(B41,calculo!$C$5:$E$29,3,FALSE)</f>
        <v>0.21788854984795458</v>
      </c>
      <c r="AA41" s="12">
        <f t="shared" si="2"/>
        <v>2901.0309278350519</v>
      </c>
    </row>
    <row r="42" spans="1:27">
      <c r="A42">
        <v>2018</v>
      </c>
      <c r="B42" s="13" t="s">
        <v>39</v>
      </c>
      <c r="C42" s="13" t="s">
        <v>38</v>
      </c>
      <c r="D42" s="12">
        <v>33.11</v>
      </c>
      <c r="E42" s="17">
        <f t="shared" si="0"/>
        <v>33110</v>
      </c>
      <c r="F42" s="12">
        <v>4230</v>
      </c>
      <c r="G42" s="7">
        <v>29.9</v>
      </c>
      <c r="H42" s="7">
        <v>103.6</v>
      </c>
      <c r="I42" s="12">
        <v>75.2</v>
      </c>
      <c r="J42" s="13" t="s">
        <v>34</v>
      </c>
      <c r="K42" s="13" t="s">
        <v>32</v>
      </c>
      <c r="L42">
        <v>30</v>
      </c>
      <c r="M42">
        <v>3360</v>
      </c>
      <c r="N42" s="15">
        <f>O42/100</f>
        <v>0.75599999999999989</v>
      </c>
      <c r="O42" s="14">
        <v>75.599999999999994</v>
      </c>
      <c r="P42">
        <v>29.8</v>
      </c>
      <c r="Q42">
        <v>0.32</v>
      </c>
      <c r="R42">
        <v>0.57999999999999996</v>
      </c>
      <c r="S42">
        <v>0</v>
      </c>
      <c r="T42" s="15">
        <f t="shared" si="1"/>
        <v>0.21</v>
      </c>
      <c r="U42">
        <v>21</v>
      </c>
      <c r="V42">
        <v>44</v>
      </c>
      <c r="W42" s="12">
        <v>7.4</v>
      </c>
      <c r="X42" s="6">
        <v>114</v>
      </c>
      <c r="Y42" s="11">
        <f>VLOOKUP(B42,calculo!$C$5:$D$29,2,FALSE)</f>
        <v>0.17634741332561998</v>
      </c>
      <c r="Z42" s="11">
        <f>VLOOKUP(B42,calculo!$C$5:$E$29,3,FALSE)</f>
        <v>0.21788854984795458</v>
      </c>
      <c r="AA42" s="12">
        <f t="shared" si="2"/>
        <v>1107.3578595317726</v>
      </c>
    </row>
    <row r="43" spans="1:27">
      <c r="A43">
        <v>2019</v>
      </c>
      <c r="B43" s="13" t="s">
        <v>39</v>
      </c>
      <c r="C43" s="13" t="s">
        <v>38</v>
      </c>
      <c r="D43" s="12">
        <v>38.950000000000003</v>
      </c>
      <c r="E43" s="17">
        <f t="shared" si="0"/>
        <v>38950</v>
      </c>
      <c r="F43" s="12">
        <v>2167</v>
      </c>
      <c r="G43" s="7">
        <v>52.2</v>
      </c>
      <c r="H43" s="7">
        <v>163</v>
      </c>
      <c r="I43" s="12">
        <v>150</v>
      </c>
      <c r="J43" s="13" t="s">
        <v>29</v>
      </c>
      <c r="K43" s="13" t="s">
        <v>36</v>
      </c>
      <c r="L43">
        <v>106</v>
      </c>
      <c r="M43">
        <v>5512</v>
      </c>
      <c r="N43" s="15">
        <f>O43/100</f>
        <v>0.92500000000000004</v>
      </c>
      <c r="O43" s="14">
        <v>92.5</v>
      </c>
      <c r="P43">
        <v>88.7</v>
      </c>
      <c r="Q43">
        <v>0.34</v>
      </c>
      <c r="R43">
        <v>0.64</v>
      </c>
      <c r="S43">
        <v>0</v>
      </c>
      <c r="T43" s="15">
        <f t="shared" si="1"/>
        <v>0.23800000000000002</v>
      </c>
      <c r="U43">
        <v>23.8</v>
      </c>
      <c r="V43">
        <v>47</v>
      </c>
      <c r="W43" s="12">
        <v>30.6</v>
      </c>
      <c r="X43" s="6">
        <v>154</v>
      </c>
      <c r="Y43" s="11">
        <f>VLOOKUP(B43,calculo!$C$5:$D$29,2,FALSE)</f>
        <v>0.17634741332561998</v>
      </c>
      <c r="Z43" s="11">
        <f>VLOOKUP(B43,calculo!$C$5:$E$29,3,FALSE)</f>
        <v>0.21788854984795458</v>
      </c>
      <c r="AA43" s="12">
        <f t="shared" si="2"/>
        <v>746.16858237547888</v>
      </c>
    </row>
    <row r="44" spans="1:27">
      <c r="A44">
        <v>2020</v>
      </c>
      <c r="B44" s="13" t="s">
        <v>39</v>
      </c>
      <c r="C44" s="13" t="s">
        <v>38</v>
      </c>
      <c r="D44" s="12">
        <v>45.82</v>
      </c>
      <c r="E44" s="17">
        <f t="shared" si="0"/>
        <v>45820</v>
      </c>
      <c r="F44" s="12">
        <v>3549.6</v>
      </c>
      <c r="G44" s="7">
        <v>14</v>
      </c>
      <c r="H44" s="7">
        <v>45.7</v>
      </c>
      <c r="I44" s="12">
        <v>120.8</v>
      </c>
      <c r="J44" s="13" t="s">
        <v>33</v>
      </c>
      <c r="K44" s="13" t="s">
        <v>30</v>
      </c>
      <c r="L44">
        <v>38</v>
      </c>
      <c r="M44">
        <v>5358</v>
      </c>
      <c r="N44" s="15">
        <f>O44/100</f>
        <v>0.7340000000000001</v>
      </c>
      <c r="O44" s="14">
        <v>73.400000000000006</v>
      </c>
      <c r="P44">
        <v>82.9</v>
      </c>
      <c r="Q44">
        <v>0.47</v>
      </c>
      <c r="R44">
        <v>1</v>
      </c>
      <c r="S44">
        <v>0.3</v>
      </c>
      <c r="T44" s="15">
        <f t="shared" si="1"/>
        <v>0.251</v>
      </c>
      <c r="U44">
        <v>25.1</v>
      </c>
      <c r="V44">
        <v>50</v>
      </c>
      <c r="W44" s="12">
        <v>8.3000000000000007</v>
      </c>
      <c r="X44" s="6">
        <v>388</v>
      </c>
      <c r="Y44" s="11">
        <f>VLOOKUP(B44,calculo!$C$5:$D$29,2,FALSE)</f>
        <v>0.17634741332561998</v>
      </c>
      <c r="Z44" s="11">
        <f>VLOOKUP(B44,calculo!$C$5:$E$29,3,FALSE)</f>
        <v>0.21788854984795458</v>
      </c>
      <c r="AA44" s="12">
        <f t="shared" si="2"/>
        <v>3272.8571428571427</v>
      </c>
    </row>
    <row r="45" spans="1:27">
      <c r="A45">
        <v>2021</v>
      </c>
      <c r="B45" s="13" t="s">
        <v>39</v>
      </c>
      <c r="C45" s="13" t="s">
        <v>38</v>
      </c>
      <c r="D45" s="12">
        <v>53.9</v>
      </c>
      <c r="E45" s="17">
        <f t="shared" si="0"/>
        <v>53900</v>
      </c>
      <c r="F45" s="12">
        <v>4961.5</v>
      </c>
      <c r="G45" s="7">
        <v>47.5</v>
      </c>
      <c r="H45" s="7">
        <v>132</v>
      </c>
      <c r="I45" s="12">
        <v>126.6</v>
      </c>
      <c r="J45" s="13" t="s">
        <v>33</v>
      </c>
      <c r="K45" s="13" t="s">
        <v>30</v>
      </c>
      <c r="L45">
        <v>107</v>
      </c>
      <c r="M45">
        <v>23005</v>
      </c>
      <c r="N45" s="15">
        <f>O45/100</f>
        <v>0.77400000000000002</v>
      </c>
      <c r="O45" s="14">
        <v>77.400000000000006</v>
      </c>
      <c r="P45">
        <v>72.7</v>
      </c>
      <c r="Q45">
        <v>0.55000000000000004</v>
      </c>
      <c r="R45">
        <v>1.08</v>
      </c>
      <c r="S45">
        <v>0.32</v>
      </c>
      <c r="T45" s="15">
        <f t="shared" si="1"/>
        <v>0.33399999999999996</v>
      </c>
      <c r="U45">
        <v>33.4</v>
      </c>
      <c r="V45">
        <v>53</v>
      </c>
      <c r="W45" s="12">
        <v>32.6</v>
      </c>
      <c r="X45" s="6">
        <v>344</v>
      </c>
      <c r="Y45" s="11">
        <f>VLOOKUP(B45,calculo!$C$5:$D$29,2,FALSE)</f>
        <v>0.17634741332561998</v>
      </c>
      <c r="Z45" s="11">
        <f>VLOOKUP(B45,calculo!$C$5:$E$29,3,FALSE)</f>
        <v>0.21788854984795458</v>
      </c>
      <c r="AA45" s="12">
        <f t="shared" si="2"/>
        <v>1134.7368421052631</v>
      </c>
    </row>
    <row r="46" spans="1:27">
      <c r="A46">
        <v>2022</v>
      </c>
      <c r="B46" s="13" t="s">
        <v>39</v>
      </c>
      <c r="C46" s="13" t="s">
        <v>38</v>
      </c>
      <c r="D46" s="12">
        <v>63.4</v>
      </c>
      <c r="E46" s="17">
        <f t="shared" si="0"/>
        <v>63400</v>
      </c>
      <c r="F46" s="12">
        <v>5378.2</v>
      </c>
      <c r="G46" s="7">
        <v>31.8</v>
      </c>
      <c r="H46" s="7">
        <v>97.6</v>
      </c>
      <c r="I46" s="12">
        <v>77.599999999999994</v>
      </c>
      <c r="J46" s="13" t="s">
        <v>29</v>
      </c>
      <c r="K46" s="13" t="s">
        <v>30</v>
      </c>
      <c r="L46">
        <v>110</v>
      </c>
      <c r="M46">
        <v>11000</v>
      </c>
      <c r="N46" s="15">
        <f>O46/100</f>
        <v>0.91700000000000004</v>
      </c>
      <c r="O46" s="14">
        <v>91.7</v>
      </c>
      <c r="P46">
        <v>61.9</v>
      </c>
      <c r="Q46">
        <v>0.7</v>
      </c>
      <c r="R46">
        <v>0.82</v>
      </c>
      <c r="S46">
        <v>0</v>
      </c>
      <c r="T46" s="15">
        <f t="shared" si="1"/>
        <v>0.29699999999999999</v>
      </c>
      <c r="U46">
        <v>29.7</v>
      </c>
      <c r="V46">
        <v>56</v>
      </c>
      <c r="W46" s="12">
        <v>35.700000000000003</v>
      </c>
      <c r="X46" s="6">
        <v>349</v>
      </c>
      <c r="Y46" s="11">
        <f>VLOOKUP(B46,calculo!$C$5:$D$29,2,FALSE)</f>
        <v>0.17634741332561998</v>
      </c>
      <c r="Z46" s="11">
        <f>VLOOKUP(B46,calculo!$C$5:$E$29,3,FALSE)</f>
        <v>0.21788854984795458</v>
      </c>
      <c r="AA46" s="12">
        <f t="shared" si="2"/>
        <v>1993.7106918238994</v>
      </c>
    </row>
    <row r="47" spans="1:27">
      <c r="A47">
        <v>2023</v>
      </c>
      <c r="B47" s="13" t="s">
        <v>39</v>
      </c>
      <c r="C47" s="13" t="s">
        <v>38</v>
      </c>
      <c r="D47" s="12">
        <v>74.59</v>
      </c>
      <c r="E47" s="17">
        <f t="shared" si="0"/>
        <v>74590</v>
      </c>
      <c r="F47" s="12">
        <v>7403.5</v>
      </c>
      <c r="G47" s="7">
        <v>21.1</v>
      </c>
      <c r="H47" s="7">
        <v>58.3</v>
      </c>
      <c r="I47" s="12">
        <v>58.8</v>
      </c>
      <c r="J47" s="13" t="s">
        <v>34</v>
      </c>
      <c r="K47" s="13" t="s">
        <v>30</v>
      </c>
      <c r="L47">
        <v>119</v>
      </c>
      <c r="M47">
        <v>19040</v>
      </c>
      <c r="N47" s="15">
        <f>O47/100</f>
        <v>0.81400000000000006</v>
      </c>
      <c r="O47" s="14">
        <v>81.400000000000006</v>
      </c>
      <c r="P47">
        <v>38.5</v>
      </c>
      <c r="Q47">
        <v>0.76</v>
      </c>
      <c r="R47">
        <v>0.88</v>
      </c>
      <c r="S47">
        <v>0</v>
      </c>
      <c r="T47" s="15">
        <f t="shared" si="1"/>
        <v>0.316</v>
      </c>
      <c r="U47">
        <v>31.6</v>
      </c>
      <c r="V47">
        <v>59</v>
      </c>
      <c r="W47" s="12">
        <v>21.7</v>
      </c>
      <c r="X47" s="6">
        <v>397</v>
      </c>
      <c r="Y47" s="11">
        <f>VLOOKUP(B47,calculo!$C$5:$D$29,2,FALSE)</f>
        <v>0.17634741332561998</v>
      </c>
      <c r="Z47" s="11">
        <f>VLOOKUP(B47,calculo!$C$5:$E$29,3,FALSE)</f>
        <v>0.21788854984795458</v>
      </c>
      <c r="AA47" s="12">
        <f t="shared" si="2"/>
        <v>3535.0710900473932</v>
      </c>
    </row>
    <row r="48" spans="1:27">
      <c r="A48">
        <v>2024</v>
      </c>
      <c r="B48" s="13" t="s">
        <v>39</v>
      </c>
      <c r="C48" s="13" t="s">
        <v>38</v>
      </c>
      <c r="D48" s="12">
        <v>87.74</v>
      </c>
      <c r="E48" s="17">
        <f t="shared" si="0"/>
        <v>87740</v>
      </c>
      <c r="F48" s="12">
        <v>8545.6</v>
      </c>
      <c r="G48" s="7">
        <v>40.700000000000003</v>
      </c>
      <c r="H48" s="7">
        <v>75.099999999999994</v>
      </c>
      <c r="I48" s="12">
        <v>53.1</v>
      </c>
      <c r="J48" s="13" t="s">
        <v>31</v>
      </c>
      <c r="K48" s="13" t="s">
        <v>30</v>
      </c>
      <c r="L48">
        <v>23</v>
      </c>
      <c r="M48">
        <v>1610</v>
      </c>
      <c r="N48" s="15">
        <f>O48/100</f>
        <v>0.57999999999999996</v>
      </c>
      <c r="O48" s="14">
        <v>58</v>
      </c>
      <c r="P48">
        <v>31.7</v>
      </c>
      <c r="Q48">
        <v>0.86</v>
      </c>
      <c r="R48">
        <v>0.94</v>
      </c>
      <c r="S48">
        <v>0</v>
      </c>
      <c r="T48" s="15">
        <f t="shared" si="1"/>
        <v>0.32799999999999996</v>
      </c>
      <c r="U48">
        <v>32.799999999999997</v>
      </c>
      <c r="V48">
        <v>62</v>
      </c>
      <c r="W48" s="12">
        <v>4.4000000000000004</v>
      </c>
      <c r="X48" s="6">
        <v>10</v>
      </c>
      <c r="Y48" s="11">
        <f>VLOOKUP(B48,calculo!$C$5:$D$29,2,FALSE)</f>
        <v>0.17634741332561998</v>
      </c>
      <c r="Z48" s="11">
        <f>VLOOKUP(B48,calculo!$C$5:$E$29,3,FALSE)</f>
        <v>0.21788854984795458</v>
      </c>
      <c r="AA48" s="12">
        <f t="shared" si="2"/>
        <v>2155.7739557739555</v>
      </c>
    </row>
    <row r="49" spans="1:27">
      <c r="A49">
        <v>2025</v>
      </c>
      <c r="B49" s="13" t="s">
        <v>39</v>
      </c>
      <c r="C49" s="13" t="s">
        <v>38</v>
      </c>
      <c r="D49" s="12">
        <v>103.21</v>
      </c>
      <c r="E49" s="17">
        <f t="shared" si="0"/>
        <v>103210</v>
      </c>
      <c r="F49" s="12">
        <v>14390.4</v>
      </c>
      <c r="G49" s="7">
        <v>9.5</v>
      </c>
      <c r="H49" s="7">
        <v>20.5</v>
      </c>
      <c r="I49" s="12">
        <v>68.599999999999994</v>
      </c>
      <c r="J49" s="13" t="s">
        <v>34</v>
      </c>
      <c r="K49" s="13" t="s">
        <v>32</v>
      </c>
      <c r="L49">
        <v>30</v>
      </c>
      <c r="M49">
        <v>8940</v>
      </c>
      <c r="N49" s="15">
        <f>O49/100</f>
        <v>0.67</v>
      </c>
      <c r="O49" s="14">
        <v>67</v>
      </c>
      <c r="P49">
        <v>25.2</v>
      </c>
      <c r="Q49">
        <v>0.79</v>
      </c>
      <c r="R49">
        <v>1</v>
      </c>
      <c r="S49">
        <v>0</v>
      </c>
      <c r="T49" s="15">
        <f t="shared" si="1"/>
        <v>0.36</v>
      </c>
      <c r="U49">
        <v>36</v>
      </c>
      <c r="V49">
        <v>65</v>
      </c>
      <c r="W49" s="12">
        <v>8.1</v>
      </c>
      <c r="X49" s="6">
        <v>301</v>
      </c>
      <c r="Y49" s="11">
        <f>VLOOKUP(B49,calculo!$C$5:$D$29,2,FALSE)</f>
        <v>0.17634741332561998</v>
      </c>
      <c r="Z49" s="11">
        <f>VLOOKUP(B49,calculo!$C$5:$E$29,3,FALSE)</f>
        <v>0.21788854984795458</v>
      </c>
      <c r="AA49" s="12">
        <f t="shared" si="2"/>
        <v>10864.21052631579</v>
      </c>
    </row>
    <row r="50" spans="1:27">
      <c r="A50">
        <v>2010</v>
      </c>
      <c r="B50" s="13" t="s">
        <v>40</v>
      </c>
      <c r="C50" s="13" t="s">
        <v>38</v>
      </c>
      <c r="D50" s="12">
        <v>12.29</v>
      </c>
      <c r="E50" s="17">
        <f t="shared" si="0"/>
        <v>12290</v>
      </c>
      <c r="F50" s="12">
        <v>1069.5</v>
      </c>
      <c r="G50" s="7">
        <v>30.1</v>
      </c>
      <c r="H50" s="7">
        <v>82.4</v>
      </c>
      <c r="I50" s="12">
        <v>74.3</v>
      </c>
      <c r="J50" s="13" t="s">
        <v>34</v>
      </c>
      <c r="K50" s="13" t="s">
        <v>32</v>
      </c>
      <c r="L50">
        <v>92</v>
      </c>
      <c r="M50">
        <v>16468</v>
      </c>
      <c r="N50" s="15">
        <f>O50/100</f>
        <v>0.82099999999999995</v>
      </c>
      <c r="O50" s="14">
        <v>82.1</v>
      </c>
      <c r="P50">
        <v>92.1</v>
      </c>
      <c r="Q50">
        <v>7.0000000000000007E-2</v>
      </c>
      <c r="R50">
        <v>0.1</v>
      </c>
      <c r="S50">
        <v>0</v>
      </c>
      <c r="T50" s="15">
        <f t="shared" si="1"/>
        <v>8.8000000000000009E-2</v>
      </c>
      <c r="U50">
        <v>8.8000000000000007</v>
      </c>
      <c r="V50">
        <v>20</v>
      </c>
      <c r="W50" s="12">
        <v>31</v>
      </c>
      <c r="X50" s="6">
        <v>247</v>
      </c>
      <c r="Y50" s="11">
        <f>VLOOKUP(B50,calculo!$C$5:$D$29,2,FALSE)</f>
        <v>0.19963066684598241</v>
      </c>
      <c r="Z50" s="11">
        <f>VLOOKUP(B50,calculo!$C$5:$E$29,3,FALSE)</f>
        <v>0.24313373854624309</v>
      </c>
      <c r="AA50" s="12">
        <f t="shared" si="2"/>
        <v>408.30564784053155</v>
      </c>
    </row>
    <row r="51" spans="1:27">
      <c r="A51">
        <v>2011</v>
      </c>
      <c r="B51" s="13" t="s">
        <v>40</v>
      </c>
      <c r="C51" s="13" t="s">
        <v>38</v>
      </c>
      <c r="D51" s="12">
        <v>14.74</v>
      </c>
      <c r="E51" s="17">
        <f t="shared" si="0"/>
        <v>14740</v>
      </c>
      <c r="F51" s="12">
        <v>1322.4</v>
      </c>
      <c r="G51" s="7">
        <v>8.1</v>
      </c>
      <c r="H51" s="7">
        <v>24</v>
      </c>
      <c r="I51" s="12">
        <v>51.9</v>
      </c>
      <c r="J51" s="13" t="s">
        <v>33</v>
      </c>
      <c r="K51" s="13" t="s">
        <v>30</v>
      </c>
      <c r="L51">
        <v>43</v>
      </c>
      <c r="M51">
        <v>10062</v>
      </c>
      <c r="N51" s="15">
        <f>O51/100</f>
        <v>0.55399999999999994</v>
      </c>
      <c r="O51" s="14">
        <v>55.4</v>
      </c>
      <c r="P51">
        <v>91.8</v>
      </c>
      <c r="Q51">
        <v>0.08</v>
      </c>
      <c r="R51">
        <v>0.16</v>
      </c>
      <c r="S51">
        <v>0</v>
      </c>
      <c r="T51" s="15">
        <f t="shared" si="1"/>
        <v>0.13500000000000001</v>
      </c>
      <c r="U51">
        <v>13.5</v>
      </c>
      <c r="V51">
        <v>23</v>
      </c>
      <c r="W51" s="12">
        <v>15.5</v>
      </c>
      <c r="X51" s="6">
        <v>221</v>
      </c>
      <c r="Y51" s="11">
        <f>VLOOKUP(B51,calculo!$C$5:$D$29,2,FALSE)</f>
        <v>0.19963066684598241</v>
      </c>
      <c r="Z51" s="11">
        <f>VLOOKUP(B51,calculo!$C$5:$E$29,3,FALSE)</f>
        <v>0.24313373854624309</v>
      </c>
      <c r="AA51" s="12">
        <f t="shared" si="2"/>
        <v>1819.7530864197531</v>
      </c>
    </row>
    <row r="52" spans="1:27">
      <c r="A52">
        <v>2012</v>
      </c>
      <c r="B52" s="13" t="s">
        <v>40</v>
      </c>
      <c r="C52" s="13" t="s">
        <v>38</v>
      </c>
      <c r="D52" s="12">
        <v>17.68</v>
      </c>
      <c r="E52" s="17">
        <f t="shared" si="0"/>
        <v>17680</v>
      </c>
      <c r="F52" s="12">
        <v>2031.4</v>
      </c>
      <c r="G52" s="7">
        <v>29.8</v>
      </c>
      <c r="H52" s="7">
        <v>79.599999999999994</v>
      </c>
      <c r="I52" s="12">
        <v>118.4</v>
      </c>
      <c r="J52" s="13" t="s">
        <v>31</v>
      </c>
      <c r="K52" s="13" t="s">
        <v>32</v>
      </c>
      <c r="L52">
        <v>115</v>
      </c>
      <c r="M52">
        <v>6555</v>
      </c>
      <c r="N52" s="15">
        <f>O52/100</f>
        <v>0.67</v>
      </c>
      <c r="O52" s="14">
        <v>67</v>
      </c>
      <c r="P52">
        <v>50.3</v>
      </c>
      <c r="Q52">
        <v>-0.01</v>
      </c>
      <c r="R52">
        <v>0.22</v>
      </c>
      <c r="S52">
        <v>0</v>
      </c>
      <c r="T52" s="15">
        <f t="shared" si="1"/>
        <v>0.126</v>
      </c>
      <c r="U52">
        <v>12.6</v>
      </c>
      <c r="V52">
        <v>26</v>
      </c>
      <c r="W52" s="12">
        <v>34.1</v>
      </c>
      <c r="X52" s="6">
        <v>189</v>
      </c>
      <c r="Y52" s="11">
        <f>VLOOKUP(B52,calculo!$C$5:$D$29,2,FALSE)</f>
        <v>0.19963066684598241</v>
      </c>
      <c r="Z52" s="11">
        <f>VLOOKUP(B52,calculo!$C$5:$E$29,3,FALSE)</f>
        <v>0.24313373854624309</v>
      </c>
      <c r="AA52" s="12">
        <f t="shared" si="2"/>
        <v>593.28859060402681</v>
      </c>
    </row>
    <row r="53" spans="1:27">
      <c r="A53">
        <v>2013</v>
      </c>
      <c r="B53" s="13" t="s">
        <v>40</v>
      </c>
      <c r="C53" s="13" t="s">
        <v>38</v>
      </c>
      <c r="D53" s="12">
        <v>21.21</v>
      </c>
      <c r="E53" s="17">
        <f t="shared" si="0"/>
        <v>21210</v>
      </c>
      <c r="F53" s="12">
        <v>1816.1</v>
      </c>
      <c r="G53" s="7">
        <v>59.2</v>
      </c>
      <c r="H53" s="7">
        <v>160.6</v>
      </c>
      <c r="I53" s="12">
        <v>58.5</v>
      </c>
      <c r="J53" s="13" t="s">
        <v>31</v>
      </c>
      <c r="K53" s="13" t="s">
        <v>30</v>
      </c>
      <c r="L53">
        <v>26</v>
      </c>
      <c r="M53">
        <v>1820</v>
      </c>
      <c r="N53" s="15">
        <f>O53/100</f>
        <v>0.58399999999999996</v>
      </c>
      <c r="O53" s="14">
        <v>58.4</v>
      </c>
      <c r="P53">
        <v>46.4</v>
      </c>
      <c r="Q53">
        <v>0.15</v>
      </c>
      <c r="R53">
        <v>0.28000000000000003</v>
      </c>
      <c r="S53">
        <v>0</v>
      </c>
      <c r="T53" s="15">
        <f t="shared" si="1"/>
        <v>0.188</v>
      </c>
      <c r="U53">
        <v>18.8</v>
      </c>
      <c r="V53">
        <v>29</v>
      </c>
      <c r="W53" s="12">
        <v>4.9000000000000004</v>
      </c>
      <c r="X53" s="6">
        <v>104</v>
      </c>
      <c r="Y53" s="11">
        <f>VLOOKUP(B53,calculo!$C$5:$D$29,2,FALSE)</f>
        <v>0.19963066684598241</v>
      </c>
      <c r="Z53" s="11">
        <f>VLOOKUP(B53,calculo!$C$5:$E$29,3,FALSE)</f>
        <v>0.24313373854624309</v>
      </c>
      <c r="AA53" s="12">
        <f t="shared" si="2"/>
        <v>358.27702702702703</v>
      </c>
    </row>
    <row r="54" spans="1:27">
      <c r="A54">
        <v>2014</v>
      </c>
      <c r="B54" s="13" t="s">
        <v>40</v>
      </c>
      <c r="C54" s="13" t="s">
        <v>38</v>
      </c>
      <c r="D54" s="12">
        <v>25.45</v>
      </c>
      <c r="E54" s="17">
        <f t="shared" si="0"/>
        <v>25450</v>
      </c>
      <c r="F54" s="12">
        <v>3607</v>
      </c>
      <c r="G54" s="7">
        <v>2.2999999999999998</v>
      </c>
      <c r="H54" s="7">
        <v>8</v>
      </c>
      <c r="I54" s="12">
        <v>88.9</v>
      </c>
      <c r="J54" s="13" t="s">
        <v>33</v>
      </c>
      <c r="K54" s="13" t="s">
        <v>32</v>
      </c>
      <c r="L54">
        <v>106</v>
      </c>
      <c r="M54">
        <v>24168</v>
      </c>
      <c r="N54" s="15">
        <f>O54/100</f>
        <v>0.74099999999999999</v>
      </c>
      <c r="O54" s="14">
        <v>74.099999999999994</v>
      </c>
      <c r="P54">
        <v>60.7</v>
      </c>
      <c r="Q54">
        <v>0.11</v>
      </c>
      <c r="R54">
        <v>0.34</v>
      </c>
      <c r="S54">
        <v>0</v>
      </c>
      <c r="T54" s="15">
        <f t="shared" si="1"/>
        <v>0.185</v>
      </c>
      <c r="U54">
        <v>18.5</v>
      </c>
      <c r="V54">
        <v>32</v>
      </c>
      <c r="W54" s="12">
        <v>37.700000000000003</v>
      </c>
      <c r="X54" s="6">
        <v>182</v>
      </c>
      <c r="Y54" s="11">
        <f>VLOOKUP(B54,calculo!$C$5:$D$29,2,FALSE)</f>
        <v>0.19963066684598241</v>
      </c>
      <c r="Z54" s="11">
        <f>VLOOKUP(B54,calculo!$C$5:$E$29,3,FALSE)</f>
        <v>0.24313373854624309</v>
      </c>
      <c r="AA54" s="12">
        <f t="shared" si="2"/>
        <v>11065.217391304348</v>
      </c>
    </row>
    <row r="55" spans="1:27">
      <c r="A55">
        <v>2015</v>
      </c>
      <c r="B55" s="13" t="s">
        <v>40</v>
      </c>
      <c r="C55" s="13" t="s">
        <v>38</v>
      </c>
      <c r="D55" s="12">
        <v>30.53</v>
      </c>
      <c r="E55" s="17">
        <f t="shared" si="0"/>
        <v>30530</v>
      </c>
      <c r="F55" s="12">
        <v>2514.6</v>
      </c>
      <c r="G55" s="7">
        <v>26.7</v>
      </c>
      <c r="H55" s="7">
        <v>67.099999999999994</v>
      </c>
      <c r="I55" s="12">
        <v>59.1</v>
      </c>
      <c r="J55" s="13" t="s">
        <v>29</v>
      </c>
      <c r="K55" s="13" t="s">
        <v>30</v>
      </c>
      <c r="L55">
        <v>51</v>
      </c>
      <c r="M55">
        <v>2550</v>
      </c>
      <c r="N55" s="15">
        <f>O55/100</f>
        <v>0.56899999999999995</v>
      </c>
      <c r="O55" s="14">
        <v>56.9</v>
      </c>
      <c r="P55">
        <v>61.1</v>
      </c>
      <c r="Q55">
        <v>7.0000000000000007E-2</v>
      </c>
      <c r="R55">
        <v>0.4</v>
      </c>
      <c r="S55">
        <v>0</v>
      </c>
      <c r="T55" s="15">
        <f t="shared" si="1"/>
        <v>0.19500000000000001</v>
      </c>
      <c r="U55">
        <v>19.5</v>
      </c>
      <c r="V55">
        <v>35</v>
      </c>
      <c r="W55" s="12">
        <v>15.4</v>
      </c>
      <c r="X55" s="6">
        <v>268</v>
      </c>
      <c r="Y55" s="11">
        <f>VLOOKUP(B55,calculo!$C$5:$D$29,2,FALSE)</f>
        <v>0.19963066684598241</v>
      </c>
      <c r="Z55" s="11">
        <f>VLOOKUP(B55,calculo!$C$5:$E$29,3,FALSE)</f>
        <v>0.24313373854624309</v>
      </c>
      <c r="AA55" s="12">
        <f t="shared" si="2"/>
        <v>1143.4456928838952</v>
      </c>
    </row>
    <row r="56" spans="1:27">
      <c r="A56">
        <v>2016</v>
      </c>
      <c r="B56" s="13" t="s">
        <v>40</v>
      </c>
      <c r="C56" s="13" t="s">
        <v>38</v>
      </c>
      <c r="D56" s="12">
        <v>36.619999999999997</v>
      </c>
      <c r="E56" s="17">
        <f t="shared" si="0"/>
        <v>36620</v>
      </c>
      <c r="F56" s="12">
        <v>2323.5</v>
      </c>
      <c r="G56" s="7">
        <v>5.7</v>
      </c>
      <c r="H56" s="7">
        <v>19.8</v>
      </c>
      <c r="I56" s="12">
        <v>68.7</v>
      </c>
      <c r="J56" s="13" t="s">
        <v>29</v>
      </c>
      <c r="K56" s="13" t="s">
        <v>36</v>
      </c>
      <c r="L56">
        <v>6</v>
      </c>
      <c r="M56">
        <v>798</v>
      </c>
      <c r="N56" s="15">
        <f>O56/100</f>
        <v>0.84200000000000008</v>
      </c>
      <c r="O56" s="14">
        <v>84.2</v>
      </c>
      <c r="P56">
        <v>69.7</v>
      </c>
      <c r="Q56">
        <v>0.17</v>
      </c>
      <c r="R56">
        <v>0.46</v>
      </c>
      <c r="S56">
        <v>0</v>
      </c>
      <c r="T56" s="15">
        <f t="shared" si="1"/>
        <v>0.192</v>
      </c>
      <c r="U56">
        <v>19.2</v>
      </c>
      <c r="V56">
        <v>38</v>
      </c>
      <c r="W56" s="12">
        <v>1.3</v>
      </c>
      <c r="X56" s="6">
        <v>417</v>
      </c>
      <c r="Y56" s="11">
        <f>VLOOKUP(B56,calculo!$C$5:$D$29,2,FALSE)</f>
        <v>0.19963066684598241</v>
      </c>
      <c r="Z56" s="11">
        <f>VLOOKUP(B56,calculo!$C$5:$E$29,3,FALSE)</f>
        <v>0.24313373854624309</v>
      </c>
      <c r="AA56" s="12">
        <f t="shared" si="2"/>
        <v>6424.5614035087719</v>
      </c>
    </row>
    <row r="57" spans="1:27">
      <c r="A57">
        <v>2017</v>
      </c>
      <c r="B57" s="13" t="s">
        <v>40</v>
      </c>
      <c r="C57" s="13" t="s">
        <v>38</v>
      </c>
      <c r="D57" s="12">
        <v>43.94</v>
      </c>
      <c r="E57" s="17">
        <f t="shared" si="0"/>
        <v>43940</v>
      </c>
      <c r="F57" s="12">
        <v>2665.6</v>
      </c>
      <c r="G57" s="7">
        <v>51.3</v>
      </c>
      <c r="H57" s="7">
        <v>153.6</v>
      </c>
      <c r="I57" s="12">
        <v>79</v>
      </c>
      <c r="J57" s="13" t="s">
        <v>34</v>
      </c>
      <c r="K57" s="13" t="s">
        <v>32</v>
      </c>
      <c r="L57">
        <v>79</v>
      </c>
      <c r="M57">
        <v>14694</v>
      </c>
      <c r="N57" s="15">
        <f>O57/100</f>
        <v>0.91700000000000004</v>
      </c>
      <c r="O57" s="14">
        <v>91.7</v>
      </c>
      <c r="P57">
        <v>79.099999999999994</v>
      </c>
      <c r="Q57">
        <v>0.32</v>
      </c>
      <c r="R57">
        <v>0.52</v>
      </c>
      <c r="S57">
        <v>0</v>
      </c>
      <c r="T57" s="15">
        <f t="shared" si="1"/>
        <v>0.22600000000000001</v>
      </c>
      <c r="U57">
        <v>22.6</v>
      </c>
      <c r="V57">
        <v>41</v>
      </c>
      <c r="W57" s="12">
        <v>15.9</v>
      </c>
      <c r="X57" s="6">
        <v>69</v>
      </c>
      <c r="Y57" s="11">
        <f>VLOOKUP(B57,calculo!$C$5:$D$29,2,FALSE)</f>
        <v>0.19963066684598241</v>
      </c>
      <c r="Z57" s="11">
        <f>VLOOKUP(B57,calculo!$C$5:$E$29,3,FALSE)</f>
        <v>0.24313373854624309</v>
      </c>
      <c r="AA57" s="12">
        <f t="shared" si="2"/>
        <v>856.53021442495128</v>
      </c>
    </row>
    <row r="58" spans="1:27">
      <c r="A58">
        <v>2018</v>
      </c>
      <c r="B58" s="13" t="s">
        <v>40</v>
      </c>
      <c r="C58" s="13" t="s">
        <v>38</v>
      </c>
      <c r="D58" s="12">
        <v>52.71</v>
      </c>
      <c r="E58" s="17">
        <f t="shared" si="0"/>
        <v>52710</v>
      </c>
      <c r="F58" s="12">
        <v>6827.2</v>
      </c>
      <c r="G58" s="7">
        <v>13.7</v>
      </c>
      <c r="H58" s="7">
        <v>25</v>
      </c>
      <c r="I58" s="12">
        <v>49.7</v>
      </c>
      <c r="J58" s="13" t="s">
        <v>33</v>
      </c>
      <c r="K58" s="13" t="s">
        <v>30</v>
      </c>
      <c r="L58">
        <v>9</v>
      </c>
      <c r="M58">
        <v>1188</v>
      </c>
      <c r="N58" s="15">
        <f>O58/100</f>
        <v>0.66099999999999992</v>
      </c>
      <c r="O58" s="14">
        <v>66.099999999999994</v>
      </c>
      <c r="P58">
        <v>90.8</v>
      </c>
      <c r="Q58">
        <v>0.33</v>
      </c>
      <c r="R58">
        <v>0.57999999999999996</v>
      </c>
      <c r="S58">
        <v>0</v>
      </c>
      <c r="T58" s="15">
        <f t="shared" si="1"/>
        <v>0.23600000000000002</v>
      </c>
      <c r="U58">
        <v>23.6</v>
      </c>
      <c r="V58">
        <v>44</v>
      </c>
      <c r="W58" s="12">
        <v>2.8</v>
      </c>
      <c r="X58" s="6">
        <v>98</v>
      </c>
      <c r="Y58" s="11">
        <f>VLOOKUP(B58,calculo!$C$5:$D$29,2,FALSE)</f>
        <v>0.19963066684598241</v>
      </c>
      <c r="Z58" s="11">
        <f>VLOOKUP(B58,calculo!$C$5:$E$29,3,FALSE)</f>
        <v>0.24313373854624309</v>
      </c>
      <c r="AA58" s="12">
        <f t="shared" si="2"/>
        <v>3847.4452554744526</v>
      </c>
    </row>
    <row r="59" spans="1:27">
      <c r="A59">
        <v>2019</v>
      </c>
      <c r="B59" s="13" t="s">
        <v>40</v>
      </c>
      <c r="C59" s="13" t="s">
        <v>38</v>
      </c>
      <c r="D59" s="12">
        <v>63.23</v>
      </c>
      <c r="E59" s="17">
        <f t="shared" si="0"/>
        <v>63230</v>
      </c>
      <c r="F59" s="12">
        <v>7675</v>
      </c>
      <c r="G59" s="7">
        <v>54.2</v>
      </c>
      <c r="H59" s="7">
        <v>148.9</v>
      </c>
      <c r="I59" s="12">
        <v>94.8</v>
      </c>
      <c r="J59" s="13" t="s">
        <v>35</v>
      </c>
      <c r="K59" s="13" t="s">
        <v>36</v>
      </c>
      <c r="L59">
        <v>67</v>
      </c>
      <c r="M59">
        <v>12864</v>
      </c>
      <c r="N59" s="15">
        <f>O59/100</f>
        <v>0.67599999999999993</v>
      </c>
      <c r="O59" s="14">
        <v>67.599999999999994</v>
      </c>
      <c r="P59">
        <v>64.900000000000006</v>
      </c>
      <c r="Q59">
        <v>0.39</v>
      </c>
      <c r="R59">
        <v>0.64</v>
      </c>
      <c r="S59">
        <v>0</v>
      </c>
      <c r="T59" s="15">
        <f t="shared" si="1"/>
        <v>0.28800000000000003</v>
      </c>
      <c r="U59">
        <v>28.8</v>
      </c>
      <c r="V59">
        <v>47</v>
      </c>
      <c r="W59" s="12">
        <v>19.7</v>
      </c>
      <c r="X59" s="6">
        <v>318</v>
      </c>
      <c r="Y59" s="11">
        <f>VLOOKUP(B59,calculo!$C$5:$D$29,2,FALSE)</f>
        <v>0.19963066684598241</v>
      </c>
      <c r="Z59" s="11">
        <f>VLOOKUP(B59,calculo!$C$5:$E$29,3,FALSE)</f>
        <v>0.24313373854624309</v>
      </c>
      <c r="AA59" s="12">
        <f t="shared" si="2"/>
        <v>1166.6051660516605</v>
      </c>
    </row>
    <row r="60" spans="1:27">
      <c r="A60">
        <v>2020</v>
      </c>
      <c r="B60" s="13" t="s">
        <v>40</v>
      </c>
      <c r="C60" s="13" t="s">
        <v>38</v>
      </c>
      <c r="D60" s="12">
        <v>75.86</v>
      </c>
      <c r="E60" s="17">
        <f t="shared" si="0"/>
        <v>75860</v>
      </c>
      <c r="F60" s="12">
        <v>10922</v>
      </c>
      <c r="G60" s="7">
        <v>38.4</v>
      </c>
      <c r="H60" s="7">
        <v>83.3</v>
      </c>
      <c r="I60" s="12">
        <v>46.7</v>
      </c>
      <c r="J60" s="13" t="s">
        <v>31</v>
      </c>
      <c r="K60" s="13" t="s">
        <v>30</v>
      </c>
      <c r="L60">
        <v>19</v>
      </c>
      <c r="M60">
        <v>3040</v>
      </c>
      <c r="N60" s="15">
        <f>O60/100</f>
        <v>0.90200000000000002</v>
      </c>
      <c r="O60" s="14">
        <v>90.2</v>
      </c>
      <c r="P60">
        <v>84.1</v>
      </c>
      <c r="Q60">
        <v>0.46</v>
      </c>
      <c r="R60">
        <v>1.26</v>
      </c>
      <c r="S60">
        <v>0.56000000000000005</v>
      </c>
      <c r="T60" s="15">
        <f t="shared" si="1"/>
        <v>0.27200000000000002</v>
      </c>
      <c r="U60">
        <v>27.2</v>
      </c>
      <c r="V60">
        <v>50</v>
      </c>
      <c r="W60" s="12">
        <v>5.8</v>
      </c>
      <c r="X60" s="6">
        <v>47</v>
      </c>
      <c r="Y60" s="11">
        <f>VLOOKUP(B60,calculo!$C$5:$D$29,2,FALSE)</f>
        <v>0.19963066684598241</v>
      </c>
      <c r="Z60" s="11">
        <f>VLOOKUP(B60,calculo!$C$5:$E$29,3,FALSE)</f>
        <v>0.24313373854624309</v>
      </c>
      <c r="AA60" s="12">
        <f t="shared" si="2"/>
        <v>1975.5208333333335</v>
      </c>
    </row>
    <row r="61" spans="1:27">
      <c r="A61">
        <v>2021</v>
      </c>
      <c r="B61" s="13" t="s">
        <v>40</v>
      </c>
      <c r="C61" s="13" t="s">
        <v>38</v>
      </c>
      <c r="D61" s="12">
        <v>91</v>
      </c>
      <c r="E61" s="17">
        <f t="shared" si="0"/>
        <v>91000</v>
      </c>
      <c r="F61" s="12">
        <v>5852.5</v>
      </c>
      <c r="G61" s="7">
        <v>13.9</v>
      </c>
      <c r="H61" s="7">
        <v>40.6</v>
      </c>
      <c r="I61" s="12">
        <v>89.3</v>
      </c>
      <c r="J61" s="13" t="s">
        <v>29</v>
      </c>
      <c r="K61" s="13" t="s">
        <v>32</v>
      </c>
      <c r="L61">
        <v>78</v>
      </c>
      <c r="M61">
        <v>11388</v>
      </c>
      <c r="N61" s="15">
        <f>O61/100</f>
        <v>0.67</v>
      </c>
      <c r="O61" s="14">
        <v>67</v>
      </c>
      <c r="P61">
        <v>59.3</v>
      </c>
      <c r="Q61">
        <v>0.63</v>
      </c>
      <c r="R61">
        <v>1.26</v>
      </c>
      <c r="S61">
        <v>0.5</v>
      </c>
      <c r="T61" s="15">
        <f t="shared" si="1"/>
        <v>0.29799999999999999</v>
      </c>
      <c r="U61">
        <v>29.8</v>
      </c>
      <c r="V61">
        <v>53</v>
      </c>
      <c r="W61" s="12">
        <v>13.7</v>
      </c>
      <c r="X61" s="6">
        <v>445</v>
      </c>
      <c r="Y61" s="11">
        <f>VLOOKUP(B61,calculo!$C$5:$D$29,2,FALSE)</f>
        <v>0.19963066684598241</v>
      </c>
      <c r="Z61" s="11">
        <f>VLOOKUP(B61,calculo!$C$5:$E$29,3,FALSE)</f>
        <v>0.24313373854624309</v>
      </c>
      <c r="AA61" s="12">
        <f t="shared" si="2"/>
        <v>6546.7625899280574</v>
      </c>
    </row>
    <row r="62" spans="1:27">
      <c r="A62">
        <v>2022</v>
      </c>
      <c r="B62" s="13" t="s">
        <v>40</v>
      </c>
      <c r="C62" s="13" t="s">
        <v>38</v>
      </c>
      <c r="D62" s="12">
        <v>109.17</v>
      </c>
      <c r="E62" s="17">
        <f t="shared" si="0"/>
        <v>109170</v>
      </c>
      <c r="F62" s="12">
        <v>7095.1</v>
      </c>
      <c r="G62" s="7">
        <v>15.3</v>
      </c>
      <c r="H62" s="7">
        <v>45</v>
      </c>
      <c r="I62" s="12">
        <v>116.4</v>
      </c>
      <c r="J62" s="13" t="s">
        <v>31</v>
      </c>
      <c r="K62" s="13" t="s">
        <v>30</v>
      </c>
      <c r="L62">
        <v>99</v>
      </c>
      <c r="M62">
        <v>16236</v>
      </c>
      <c r="N62" s="15">
        <f>O62/100</f>
        <v>0.61299999999999999</v>
      </c>
      <c r="O62" s="14">
        <v>61.3</v>
      </c>
      <c r="P62">
        <v>50.9</v>
      </c>
      <c r="Q62">
        <v>0.72</v>
      </c>
      <c r="R62">
        <v>0.82</v>
      </c>
      <c r="S62">
        <v>0</v>
      </c>
      <c r="T62" s="15">
        <f t="shared" si="1"/>
        <v>0.29100000000000004</v>
      </c>
      <c r="U62">
        <v>29.1</v>
      </c>
      <c r="V62">
        <v>56</v>
      </c>
      <c r="W62" s="12">
        <v>32</v>
      </c>
      <c r="X62" s="6">
        <v>20</v>
      </c>
      <c r="Y62" s="11">
        <f>VLOOKUP(B62,calculo!$C$5:$D$29,2,FALSE)</f>
        <v>0.19963066684598241</v>
      </c>
      <c r="Z62" s="11">
        <f>VLOOKUP(B62,calculo!$C$5:$E$29,3,FALSE)</f>
        <v>0.24313373854624309</v>
      </c>
      <c r="AA62" s="12">
        <f t="shared" si="2"/>
        <v>7135.2941176470586</v>
      </c>
    </row>
    <row r="63" spans="1:27">
      <c r="A63">
        <v>2023</v>
      </c>
      <c r="B63" s="13" t="s">
        <v>40</v>
      </c>
      <c r="C63" s="13" t="s">
        <v>38</v>
      </c>
      <c r="D63" s="12">
        <v>130.97</v>
      </c>
      <c r="E63" s="17">
        <f t="shared" si="0"/>
        <v>130970</v>
      </c>
      <c r="F63" s="12">
        <v>9525.7999999999993</v>
      </c>
      <c r="G63" s="7">
        <v>26.6</v>
      </c>
      <c r="H63" s="7">
        <v>55.2</v>
      </c>
      <c r="I63" s="12">
        <v>103.8</v>
      </c>
      <c r="J63" s="13" t="s">
        <v>33</v>
      </c>
      <c r="K63" s="13" t="s">
        <v>36</v>
      </c>
      <c r="L63">
        <v>94</v>
      </c>
      <c r="M63">
        <v>17860</v>
      </c>
      <c r="N63" s="15">
        <f>O63/100</f>
        <v>0.61499999999999999</v>
      </c>
      <c r="O63" s="14">
        <v>61.5</v>
      </c>
      <c r="P63">
        <v>79.5</v>
      </c>
      <c r="Q63">
        <v>0.73</v>
      </c>
      <c r="R63">
        <v>0.88</v>
      </c>
      <c r="S63">
        <v>0</v>
      </c>
      <c r="T63" s="15">
        <f t="shared" si="1"/>
        <v>0.32299999999999995</v>
      </c>
      <c r="U63">
        <v>32.299999999999997</v>
      </c>
      <c r="V63">
        <v>59</v>
      </c>
      <c r="W63" s="12">
        <v>17.399999999999999</v>
      </c>
      <c r="X63" s="6">
        <v>180</v>
      </c>
      <c r="Y63" s="11">
        <f>VLOOKUP(B63,calculo!$C$5:$D$29,2,FALSE)</f>
        <v>0.19963066684598241</v>
      </c>
      <c r="Z63" s="11">
        <f>VLOOKUP(B63,calculo!$C$5:$E$29,3,FALSE)</f>
        <v>0.24313373854624309</v>
      </c>
      <c r="AA63" s="12">
        <f t="shared" si="2"/>
        <v>4923.6842105263158</v>
      </c>
    </row>
    <row r="64" spans="1:27">
      <c r="A64">
        <v>2024</v>
      </c>
      <c r="B64" s="13" t="s">
        <v>40</v>
      </c>
      <c r="C64" s="13" t="s">
        <v>38</v>
      </c>
      <c r="D64" s="12">
        <v>157.11000000000001</v>
      </c>
      <c r="E64" s="17">
        <f t="shared" si="0"/>
        <v>157110</v>
      </c>
      <c r="F64" s="12">
        <v>18801</v>
      </c>
      <c r="G64" s="7">
        <v>55.5</v>
      </c>
      <c r="H64" s="7">
        <v>161.80000000000001</v>
      </c>
      <c r="I64" s="12">
        <v>48.3</v>
      </c>
      <c r="J64" s="13" t="s">
        <v>34</v>
      </c>
      <c r="K64" s="13" t="s">
        <v>36</v>
      </c>
      <c r="L64">
        <v>96</v>
      </c>
      <c r="M64">
        <v>7680</v>
      </c>
      <c r="N64" s="15">
        <f>O64/100</f>
        <v>0.54700000000000004</v>
      </c>
      <c r="O64" s="14">
        <v>54.7</v>
      </c>
      <c r="P64">
        <v>88</v>
      </c>
      <c r="Q64">
        <v>0.83</v>
      </c>
      <c r="R64">
        <v>0.94</v>
      </c>
      <c r="S64">
        <v>0</v>
      </c>
      <c r="T64" s="15">
        <f t="shared" si="1"/>
        <v>0.34799999999999998</v>
      </c>
      <c r="U64">
        <v>34.799999999999997</v>
      </c>
      <c r="V64">
        <v>62</v>
      </c>
      <c r="W64" s="12">
        <v>29</v>
      </c>
      <c r="X64" s="6">
        <v>276</v>
      </c>
      <c r="Y64" s="11">
        <f>VLOOKUP(B64,calculo!$C$5:$D$29,2,FALSE)</f>
        <v>0.19963066684598241</v>
      </c>
      <c r="Z64" s="11">
        <f>VLOOKUP(B64,calculo!$C$5:$E$29,3,FALSE)</f>
        <v>0.24313373854624309</v>
      </c>
      <c r="AA64" s="12">
        <f t="shared" si="2"/>
        <v>2830.8108108108108</v>
      </c>
    </row>
    <row r="65" spans="1:27">
      <c r="A65">
        <v>2025</v>
      </c>
      <c r="B65" s="13" t="s">
        <v>40</v>
      </c>
      <c r="C65" s="13" t="s">
        <v>38</v>
      </c>
      <c r="D65" s="12">
        <v>188.48</v>
      </c>
      <c r="E65" s="17">
        <f t="shared" si="0"/>
        <v>188480</v>
      </c>
      <c r="F65" s="12">
        <v>27986.5</v>
      </c>
      <c r="G65" s="7">
        <v>50.7</v>
      </c>
      <c r="H65" s="7">
        <v>88.6</v>
      </c>
      <c r="I65" s="12">
        <v>140.5</v>
      </c>
      <c r="J65" s="13" t="s">
        <v>29</v>
      </c>
      <c r="K65" s="13" t="s">
        <v>32</v>
      </c>
      <c r="L65">
        <v>67</v>
      </c>
      <c r="M65">
        <v>15477</v>
      </c>
      <c r="N65" s="15">
        <f>O65/100</f>
        <v>0.52500000000000002</v>
      </c>
      <c r="O65" s="14">
        <v>52.5</v>
      </c>
      <c r="P65">
        <v>50.1</v>
      </c>
      <c r="Q65">
        <v>0.85</v>
      </c>
      <c r="R65">
        <v>1</v>
      </c>
      <c r="S65">
        <v>0</v>
      </c>
      <c r="T65" s="15">
        <f t="shared" si="1"/>
        <v>0.34700000000000003</v>
      </c>
      <c r="U65">
        <v>34.700000000000003</v>
      </c>
      <c r="V65">
        <v>65</v>
      </c>
      <c r="W65" s="12">
        <v>18.7</v>
      </c>
      <c r="X65" s="6">
        <v>445</v>
      </c>
      <c r="Y65" s="11">
        <f>VLOOKUP(B65,calculo!$C$5:$D$29,2,FALSE)</f>
        <v>0.19963066684598241</v>
      </c>
      <c r="Z65" s="11">
        <f>VLOOKUP(B65,calculo!$C$5:$E$29,3,FALSE)</f>
        <v>0.24313373854624309</v>
      </c>
      <c r="AA65" s="12">
        <f t="shared" si="2"/>
        <v>3717.5542406311633</v>
      </c>
    </row>
    <row r="66" spans="1:27">
      <c r="A66">
        <v>2010</v>
      </c>
      <c r="B66" s="13" t="s">
        <v>41</v>
      </c>
      <c r="C66" s="13" t="s">
        <v>42</v>
      </c>
      <c r="D66" s="12">
        <v>12.03</v>
      </c>
      <c r="E66" s="17">
        <f t="shared" si="0"/>
        <v>12030</v>
      </c>
      <c r="F66" s="12">
        <v>1640.2</v>
      </c>
      <c r="G66" s="7">
        <v>55.5</v>
      </c>
      <c r="H66" s="7">
        <v>135</v>
      </c>
      <c r="I66" s="12">
        <v>87.7</v>
      </c>
      <c r="J66" s="13" t="s">
        <v>34</v>
      </c>
      <c r="K66" s="13" t="s">
        <v>32</v>
      </c>
      <c r="L66">
        <v>95</v>
      </c>
      <c r="M66">
        <v>6270</v>
      </c>
      <c r="N66" s="15">
        <f>O66/100</f>
        <v>0.56299999999999994</v>
      </c>
      <c r="O66" s="14">
        <v>56.3</v>
      </c>
      <c r="P66">
        <v>38.200000000000003</v>
      </c>
      <c r="Q66">
        <v>0.09</v>
      </c>
      <c r="R66">
        <v>0.1</v>
      </c>
      <c r="S66">
        <v>0</v>
      </c>
      <c r="T66" s="15">
        <f t="shared" si="1"/>
        <v>8.1000000000000003E-2</v>
      </c>
      <c r="U66">
        <v>8.1</v>
      </c>
      <c r="V66">
        <v>20</v>
      </c>
      <c r="W66" s="12">
        <v>28.2</v>
      </c>
      <c r="X66" s="6">
        <v>464</v>
      </c>
      <c r="Y66" s="11">
        <f>VLOOKUP(B66,calculo!$C$5:$D$29,2,FALSE)</f>
        <v>0.17074063947425855</v>
      </c>
      <c r="Z66" s="11">
        <f>VLOOKUP(B66,calculo!$C$5:$E$29,3,FALSE)</f>
        <v>0.10120107004834433</v>
      </c>
      <c r="AA66" s="12">
        <f t="shared" si="2"/>
        <v>216.75675675675674</v>
      </c>
    </row>
    <row r="67" spans="1:27">
      <c r="A67">
        <v>2011</v>
      </c>
      <c r="B67" s="13" t="s">
        <v>41</v>
      </c>
      <c r="C67" s="13" t="s">
        <v>42</v>
      </c>
      <c r="D67" s="12">
        <v>14.08</v>
      </c>
      <c r="E67" s="17">
        <f t="shared" ref="E67:E130" si="3">D67*1000</f>
        <v>14080</v>
      </c>
      <c r="F67" s="12">
        <v>1095.0999999999999</v>
      </c>
      <c r="G67" s="7">
        <v>14.8</v>
      </c>
      <c r="H67" s="7">
        <v>28.4</v>
      </c>
      <c r="I67" s="12">
        <v>91.8</v>
      </c>
      <c r="J67" s="13" t="s">
        <v>31</v>
      </c>
      <c r="K67" s="13" t="s">
        <v>30</v>
      </c>
      <c r="L67">
        <v>85</v>
      </c>
      <c r="M67">
        <v>11305</v>
      </c>
      <c r="N67" s="15">
        <f>O67/100</f>
        <v>0.88700000000000001</v>
      </c>
      <c r="O67" s="14">
        <v>88.7</v>
      </c>
      <c r="P67">
        <v>65.099999999999994</v>
      </c>
      <c r="Q67">
        <v>0.15</v>
      </c>
      <c r="R67">
        <v>0.16</v>
      </c>
      <c r="S67">
        <v>0</v>
      </c>
      <c r="T67" s="15">
        <f t="shared" ref="T67:T130" si="4">U67/100</f>
        <v>0.10300000000000001</v>
      </c>
      <c r="U67">
        <v>10.3</v>
      </c>
      <c r="V67">
        <v>23</v>
      </c>
      <c r="W67" s="12">
        <v>22.5</v>
      </c>
      <c r="X67" s="6">
        <v>369</v>
      </c>
      <c r="Y67" s="11">
        <f>VLOOKUP(B67,calculo!$C$5:$D$29,2,FALSE)</f>
        <v>0.17074063947425855</v>
      </c>
      <c r="Z67" s="11">
        <f>VLOOKUP(B67,calculo!$C$5:$E$29,3,FALSE)</f>
        <v>0.10120107004834433</v>
      </c>
      <c r="AA67" s="12">
        <f t="shared" ref="AA67:AA130" si="5">E67/G67</f>
        <v>951.35135135135135</v>
      </c>
    </row>
    <row r="68" spans="1:27">
      <c r="A68">
        <v>2012</v>
      </c>
      <c r="B68" s="13" t="s">
        <v>41</v>
      </c>
      <c r="C68" s="13" t="s">
        <v>42</v>
      </c>
      <c r="D68" s="12">
        <v>16.489999999999998</v>
      </c>
      <c r="E68" s="17">
        <f t="shared" si="3"/>
        <v>16490</v>
      </c>
      <c r="F68" s="12">
        <v>935</v>
      </c>
      <c r="G68" s="7">
        <v>45.5</v>
      </c>
      <c r="H68" s="7">
        <v>87.3</v>
      </c>
      <c r="I68" s="12">
        <v>137.80000000000001</v>
      </c>
      <c r="J68" s="13" t="s">
        <v>29</v>
      </c>
      <c r="K68" s="13" t="s">
        <v>36</v>
      </c>
      <c r="L68">
        <v>36</v>
      </c>
      <c r="M68">
        <v>7452</v>
      </c>
      <c r="N68" s="15">
        <f>O68/100</f>
        <v>0.71200000000000008</v>
      </c>
      <c r="O68" s="14">
        <v>71.2</v>
      </c>
      <c r="P68">
        <v>67.400000000000006</v>
      </c>
      <c r="Q68">
        <v>0.23</v>
      </c>
      <c r="R68">
        <v>0.22</v>
      </c>
      <c r="S68">
        <v>0</v>
      </c>
      <c r="T68" s="15">
        <f t="shared" si="4"/>
        <v>0.13500000000000001</v>
      </c>
      <c r="U68">
        <v>13.5</v>
      </c>
      <c r="V68">
        <v>26</v>
      </c>
      <c r="W68" s="12">
        <v>7.1</v>
      </c>
      <c r="X68" s="6">
        <v>27</v>
      </c>
      <c r="Y68" s="11">
        <f>VLOOKUP(B68,calculo!$C$5:$D$29,2,FALSE)</f>
        <v>0.17074063947425855</v>
      </c>
      <c r="Z68" s="11">
        <f>VLOOKUP(B68,calculo!$C$5:$E$29,3,FALSE)</f>
        <v>0.10120107004834433</v>
      </c>
      <c r="AA68" s="12">
        <f t="shared" si="5"/>
        <v>362.41758241758242</v>
      </c>
    </row>
    <row r="69" spans="1:27">
      <c r="A69">
        <v>2013</v>
      </c>
      <c r="B69" s="13" t="s">
        <v>41</v>
      </c>
      <c r="C69" s="13" t="s">
        <v>42</v>
      </c>
      <c r="D69" s="12">
        <v>19.3</v>
      </c>
      <c r="E69" s="17">
        <f t="shared" si="3"/>
        <v>19300</v>
      </c>
      <c r="F69" s="12">
        <v>1983.6</v>
      </c>
      <c r="G69" s="7">
        <v>33</v>
      </c>
      <c r="H69" s="7">
        <v>81.2</v>
      </c>
      <c r="I69" s="12">
        <v>89.6</v>
      </c>
      <c r="J69" s="13" t="s">
        <v>29</v>
      </c>
      <c r="K69" s="13" t="s">
        <v>32</v>
      </c>
      <c r="L69">
        <v>55</v>
      </c>
      <c r="M69">
        <v>6160</v>
      </c>
      <c r="N69" s="15">
        <f>O69/100</f>
        <v>0.92599999999999993</v>
      </c>
      <c r="O69" s="14">
        <v>92.6</v>
      </c>
      <c r="P69">
        <v>53</v>
      </c>
      <c r="Q69">
        <v>0.15</v>
      </c>
      <c r="R69">
        <v>0.28000000000000003</v>
      </c>
      <c r="S69">
        <v>0</v>
      </c>
      <c r="T69" s="15">
        <f t="shared" si="4"/>
        <v>0.13</v>
      </c>
      <c r="U69">
        <v>13</v>
      </c>
      <c r="V69">
        <v>29</v>
      </c>
      <c r="W69" s="12">
        <v>9.6999999999999993</v>
      </c>
      <c r="X69" s="6">
        <v>467</v>
      </c>
      <c r="Y69" s="11">
        <f>VLOOKUP(B69,calculo!$C$5:$D$29,2,FALSE)</f>
        <v>0.17074063947425855</v>
      </c>
      <c r="Z69" s="11">
        <f>VLOOKUP(B69,calculo!$C$5:$E$29,3,FALSE)</f>
        <v>0.10120107004834433</v>
      </c>
      <c r="AA69" s="12">
        <f t="shared" si="5"/>
        <v>584.84848484848487</v>
      </c>
    </row>
    <row r="70" spans="1:27">
      <c r="A70">
        <v>2014</v>
      </c>
      <c r="B70" s="13" t="s">
        <v>41</v>
      </c>
      <c r="C70" s="13" t="s">
        <v>42</v>
      </c>
      <c r="D70" s="12">
        <v>22.6</v>
      </c>
      <c r="E70" s="17">
        <f t="shared" si="3"/>
        <v>22600</v>
      </c>
      <c r="F70" s="12">
        <v>2939.5</v>
      </c>
      <c r="G70" s="7">
        <v>58.8</v>
      </c>
      <c r="H70" s="7">
        <v>186.9</v>
      </c>
      <c r="I70" s="12">
        <v>134</v>
      </c>
      <c r="J70" s="13" t="s">
        <v>34</v>
      </c>
      <c r="K70" s="13" t="s">
        <v>32</v>
      </c>
      <c r="L70">
        <v>12</v>
      </c>
      <c r="M70">
        <v>1368</v>
      </c>
      <c r="N70" s="15">
        <f>O70/100</f>
        <v>0.80200000000000005</v>
      </c>
      <c r="O70" s="14">
        <v>80.2</v>
      </c>
      <c r="P70">
        <v>26.5</v>
      </c>
      <c r="Q70">
        <v>0.1</v>
      </c>
      <c r="R70">
        <v>0.34</v>
      </c>
      <c r="S70">
        <v>0</v>
      </c>
      <c r="T70" s="15">
        <f t="shared" si="4"/>
        <v>0.18600000000000003</v>
      </c>
      <c r="U70">
        <v>18.600000000000001</v>
      </c>
      <c r="V70">
        <v>32</v>
      </c>
      <c r="W70" s="12">
        <v>3.5</v>
      </c>
      <c r="X70" s="6">
        <v>63</v>
      </c>
      <c r="Y70" s="11">
        <f>VLOOKUP(B70,calculo!$C$5:$D$29,2,FALSE)</f>
        <v>0.17074063947425855</v>
      </c>
      <c r="Z70" s="11">
        <f>VLOOKUP(B70,calculo!$C$5:$E$29,3,FALSE)</f>
        <v>0.10120107004834433</v>
      </c>
      <c r="AA70" s="12">
        <f t="shared" si="5"/>
        <v>384.35374149659867</v>
      </c>
    </row>
    <row r="71" spans="1:27">
      <c r="A71">
        <v>2015</v>
      </c>
      <c r="B71" s="13" t="s">
        <v>41</v>
      </c>
      <c r="C71" s="13" t="s">
        <v>42</v>
      </c>
      <c r="D71" s="12">
        <v>26.46</v>
      </c>
      <c r="E71" s="17">
        <f t="shared" si="3"/>
        <v>26460</v>
      </c>
      <c r="F71" s="12">
        <v>3670.8</v>
      </c>
      <c r="G71" s="7">
        <v>34.299999999999997</v>
      </c>
      <c r="H71" s="7">
        <v>100.9</v>
      </c>
      <c r="I71" s="12">
        <v>126.6</v>
      </c>
      <c r="J71" s="13" t="s">
        <v>34</v>
      </c>
      <c r="K71" s="13" t="s">
        <v>36</v>
      </c>
      <c r="L71">
        <v>92</v>
      </c>
      <c r="M71">
        <v>11684</v>
      </c>
      <c r="N71" s="15">
        <f>O71/100</f>
        <v>0.56299999999999994</v>
      </c>
      <c r="O71" s="14">
        <v>56.3</v>
      </c>
      <c r="P71">
        <v>55.5</v>
      </c>
      <c r="Q71">
        <v>0.14000000000000001</v>
      </c>
      <c r="R71">
        <v>0.4</v>
      </c>
      <c r="S71">
        <v>0</v>
      </c>
      <c r="T71" s="15">
        <f t="shared" si="4"/>
        <v>0.14599999999999999</v>
      </c>
      <c r="U71">
        <v>14.6</v>
      </c>
      <c r="V71">
        <v>35</v>
      </c>
      <c r="W71" s="12">
        <v>27.7</v>
      </c>
      <c r="X71" s="6">
        <v>320</v>
      </c>
      <c r="Y71" s="11">
        <f>VLOOKUP(B71,calculo!$C$5:$D$29,2,FALSE)</f>
        <v>0.17074063947425855</v>
      </c>
      <c r="Z71" s="11">
        <f>VLOOKUP(B71,calculo!$C$5:$E$29,3,FALSE)</f>
        <v>0.10120107004834433</v>
      </c>
      <c r="AA71" s="12">
        <f t="shared" si="5"/>
        <v>771.42857142857144</v>
      </c>
    </row>
    <row r="72" spans="1:27">
      <c r="A72">
        <v>2016</v>
      </c>
      <c r="B72" s="13" t="s">
        <v>41</v>
      </c>
      <c r="C72" s="13" t="s">
        <v>42</v>
      </c>
      <c r="D72" s="12">
        <v>30.97</v>
      </c>
      <c r="E72" s="17">
        <f t="shared" si="3"/>
        <v>30970</v>
      </c>
      <c r="F72" s="12">
        <v>4313.7</v>
      </c>
      <c r="G72" s="7">
        <v>49.4</v>
      </c>
      <c r="H72" s="7">
        <v>107.9</v>
      </c>
      <c r="I72" s="12">
        <v>61.1</v>
      </c>
      <c r="J72" s="13" t="s">
        <v>31</v>
      </c>
      <c r="K72" s="13" t="s">
        <v>36</v>
      </c>
      <c r="L72">
        <v>6</v>
      </c>
      <c r="M72">
        <v>1464</v>
      </c>
      <c r="N72" s="15">
        <f>O72/100</f>
        <v>0.65500000000000003</v>
      </c>
      <c r="O72" s="14">
        <v>65.5</v>
      </c>
      <c r="P72">
        <v>83</v>
      </c>
      <c r="Q72">
        <v>0.1</v>
      </c>
      <c r="R72">
        <v>0.46</v>
      </c>
      <c r="S72">
        <v>0</v>
      </c>
      <c r="T72" s="15">
        <f t="shared" si="4"/>
        <v>0.23499999999999999</v>
      </c>
      <c r="U72">
        <v>23.5</v>
      </c>
      <c r="V72">
        <v>38</v>
      </c>
      <c r="W72" s="12">
        <v>1.8</v>
      </c>
      <c r="X72" s="6">
        <v>402</v>
      </c>
      <c r="Y72" s="11">
        <f>VLOOKUP(B72,calculo!$C$5:$D$29,2,FALSE)</f>
        <v>0.17074063947425855</v>
      </c>
      <c r="Z72" s="11">
        <f>VLOOKUP(B72,calculo!$C$5:$E$29,3,FALSE)</f>
        <v>0.10120107004834433</v>
      </c>
      <c r="AA72" s="12">
        <f t="shared" si="5"/>
        <v>626.92307692307691</v>
      </c>
    </row>
    <row r="73" spans="1:27">
      <c r="A73">
        <v>2017</v>
      </c>
      <c r="B73" s="13" t="s">
        <v>41</v>
      </c>
      <c r="C73" s="13" t="s">
        <v>42</v>
      </c>
      <c r="D73" s="12">
        <v>36.26</v>
      </c>
      <c r="E73" s="17">
        <f t="shared" si="3"/>
        <v>36260</v>
      </c>
      <c r="F73" s="12">
        <v>5252.6</v>
      </c>
      <c r="G73" s="7">
        <v>46.3</v>
      </c>
      <c r="H73" s="7">
        <v>82.4</v>
      </c>
      <c r="I73" s="12">
        <v>134.19999999999999</v>
      </c>
      <c r="J73" s="13" t="s">
        <v>35</v>
      </c>
      <c r="K73" s="13" t="s">
        <v>30</v>
      </c>
      <c r="L73">
        <v>63</v>
      </c>
      <c r="M73">
        <v>18081</v>
      </c>
      <c r="N73" s="15">
        <f>O73/100</f>
        <v>0.51</v>
      </c>
      <c r="O73" s="14">
        <v>51</v>
      </c>
      <c r="P73">
        <v>45.2</v>
      </c>
      <c r="Q73">
        <v>0.17</v>
      </c>
      <c r="R73">
        <v>0.52</v>
      </c>
      <c r="S73">
        <v>0</v>
      </c>
      <c r="T73" s="15">
        <f t="shared" si="4"/>
        <v>0.20600000000000002</v>
      </c>
      <c r="U73">
        <v>20.6</v>
      </c>
      <c r="V73">
        <v>41</v>
      </c>
      <c r="W73" s="12">
        <v>16.899999999999999</v>
      </c>
      <c r="X73" s="6">
        <v>49</v>
      </c>
      <c r="Y73" s="11">
        <f>VLOOKUP(B73,calculo!$C$5:$D$29,2,FALSE)</f>
        <v>0.17074063947425855</v>
      </c>
      <c r="Z73" s="11">
        <f>VLOOKUP(B73,calculo!$C$5:$E$29,3,FALSE)</f>
        <v>0.10120107004834433</v>
      </c>
      <c r="AA73" s="12">
        <f t="shared" si="5"/>
        <v>783.15334773218149</v>
      </c>
    </row>
    <row r="74" spans="1:27">
      <c r="A74">
        <v>2018</v>
      </c>
      <c r="B74" s="13" t="s">
        <v>41</v>
      </c>
      <c r="C74" s="13" t="s">
        <v>42</v>
      </c>
      <c r="D74" s="12">
        <v>42.45</v>
      </c>
      <c r="E74" s="17">
        <f t="shared" si="3"/>
        <v>42450</v>
      </c>
      <c r="F74" s="12">
        <v>3048.4</v>
      </c>
      <c r="G74" s="7">
        <v>39.4</v>
      </c>
      <c r="H74" s="7">
        <v>92.4</v>
      </c>
      <c r="I74" s="12">
        <v>45.9</v>
      </c>
      <c r="J74" s="13" t="s">
        <v>29</v>
      </c>
      <c r="K74" s="13" t="s">
        <v>32</v>
      </c>
      <c r="L74">
        <v>33</v>
      </c>
      <c r="M74">
        <v>5214</v>
      </c>
      <c r="N74" s="15">
        <f>O74/100</f>
        <v>0.87</v>
      </c>
      <c r="O74" s="14">
        <v>87</v>
      </c>
      <c r="P74">
        <v>64.7</v>
      </c>
      <c r="Q74">
        <v>0.3</v>
      </c>
      <c r="R74">
        <v>0.57999999999999996</v>
      </c>
      <c r="S74">
        <v>0</v>
      </c>
      <c r="T74" s="15">
        <f t="shared" si="4"/>
        <v>0.26600000000000001</v>
      </c>
      <c r="U74">
        <v>26.6</v>
      </c>
      <c r="V74">
        <v>44</v>
      </c>
      <c r="W74" s="12">
        <v>10.7</v>
      </c>
      <c r="X74" s="6">
        <v>51</v>
      </c>
      <c r="Y74" s="11">
        <f>VLOOKUP(B74,calculo!$C$5:$D$29,2,FALSE)</f>
        <v>0.17074063947425855</v>
      </c>
      <c r="Z74" s="11">
        <f>VLOOKUP(B74,calculo!$C$5:$E$29,3,FALSE)</f>
        <v>0.10120107004834433</v>
      </c>
      <c r="AA74" s="12">
        <f t="shared" si="5"/>
        <v>1077.4111675126903</v>
      </c>
    </row>
    <row r="75" spans="1:27">
      <c r="A75">
        <v>2019</v>
      </c>
      <c r="B75" s="13" t="s">
        <v>41</v>
      </c>
      <c r="C75" s="13" t="s">
        <v>42</v>
      </c>
      <c r="D75" s="12">
        <v>49.7</v>
      </c>
      <c r="E75" s="17">
        <f t="shared" si="3"/>
        <v>49700</v>
      </c>
      <c r="F75" s="12">
        <v>5239.7</v>
      </c>
      <c r="G75" s="7">
        <v>39.799999999999997</v>
      </c>
      <c r="H75" s="7">
        <v>125.7</v>
      </c>
      <c r="I75" s="12">
        <v>54.8</v>
      </c>
      <c r="J75" s="13" t="s">
        <v>35</v>
      </c>
      <c r="K75" s="13" t="s">
        <v>32</v>
      </c>
      <c r="L75">
        <v>110</v>
      </c>
      <c r="M75">
        <v>14850</v>
      </c>
      <c r="N75" s="15">
        <f>O75/100</f>
        <v>0.89300000000000002</v>
      </c>
      <c r="O75" s="14">
        <v>89.3</v>
      </c>
      <c r="P75">
        <v>69.8</v>
      </c>
      <c r="Q75">
        <v>0.34</v>
      </c>
      <c r="R75">
        <v>0.64</v>
      </c>
      <c r="S75">
        <v>0</v>
      </c>
      <c r="T75" s="15">
        <f t="shared" si="4"/>
        <v>0.26100000000000001</v>
      </c>
      <c r="U75">
        <v>26.1</v>
      </c>
      <c r="V75">
        <v>47</v>
      </c>
      <c r="W75" s="12">
        <v>20.3</v>
      </c>
      <c r="X75" s="6">
        <v>277</v>
      </c>
      <c r="Y75" s="11">
        <f>VLOOKUP(B75,calculo!$C$5:$D$29,2,FALSE)</f>
        <v>0.17074063947425855</v>
      </c>
      <c r="Z75" s="11">
        <f>VLOOKUP(B75,calculo!$C$5:$E$29,3,FALSE)</f>
        <v>0.10120107004834433</v>
      </c>
      <c r="AA75" s="12">
        <f t="shared" si="5"/>
        <v>1248.743718592965</v>
      </c>
    </row>
    <row r="76" spans="1:27">
      <c r="A76">
        <v>2020</v>
      </c>
      <c r="B76" s="13" t="s">
        <v>41</v>
      </c>
      <c r="C76" s="13" t="s">
        <v>42</v>
      </c>
      <c r="D76" s="12">
        <v>58.19</v>
      </c>
      <c r="E76" s="17">
        <f t="shared" si="3"/>
        <v>58190</v>
      </c>
      <c r="F76" s="12">
        <v>7786.5</v>
      </c>
      <c r="G76" s="7">
        <v>25.5</v>
      </c>
      <c r="H76" s="7">
        <v>77.400000000000006</v>
      </c>
      <c r="I76" s="12">
        <v>80.599999999999994</v>
      </c>
      <c r="J76" s="13" t="s">
        <v>34</v>
      </c>
      <c r="K76" s="13" t="s">
        <v>36</v>
      </c>
      <c r="L76">
        <v>6</v>
      </c>
      <c r="M76">
        <v>618</v>
      </c>
      <c r="N76" s="15">
        <f>O76/100</f>
        <v>0.77099999999999991</v>
      </c>
      <c r="O76" s="14">
        <v>77.099999999999994</v>
      </c>
      <c r="P76">
        <v>43.4</v>
      </c>
      <c r="Q76">
        <v>0.64</v>
      </c>
      <c r="R76">
        <v>1.1499999999999999</v>
      </c>
      <c r="S76">
        <v>0.45</v>
      </c>
      <c r="T76" s="15">
        <f t="shared" si="4"/>
        <v>0.26200000000000001</v>
      </c>
      <c r="U76">
        <v>26.2</v>
      </c>
      <c r="V76">
        <v>50</v>
      </c>
      <c r="W76" s="12">
        <v>2</v>
      </c>
      <c r="X76" s="6">
        <v>158</v>
      </c>
      <c r="Y76" s="11">
        <f>VLOOKUP(B76,calculo!$C$5:$D$29,2,FALSE)</f>
        <v>0.17074063947425855</v>
      </c>
      <c r="Z76" s="11">
        <f>VLOOKUP(B76,calculo!$C$5:$E$29,3,FALSE)</f>
        <v>0.10120107004834433</v>
      </c>
      <c r="AA76" s="12">
        <f t="shared" si="5"/>
        <v>2281.9607843137255</v>
      </c>
    </row>
    <row r="77" spans="1:27">
      <c r="A77">
        <v>2021</v>
      </c>
      <c r="B77" s="13" t="s">
        <v>41</v>
      </c>
      <c r="C77" s="13" t="s">
        <v>42</v>
      </c>
      <c r="D77" s="12">
        <v>68.13</v>
      </c>
      <c r="E77" s="17">
        <f t="shared" si="3"/>
        <v>68130</v>
      </c>
      <c r="F77" s="12">
        <v>8321.7999999999993</v>
      </c>
      <c r="G77" s="7">
        <v>37.4</v>
      </c>
      <c r="H77" s="7">
        <v>127.1</v>
      </c>
      <c r="I77" s="12">
        <v>77.599999999999994</v>
      </c>
      <c r="J77" s="13" t="s">
        <v>35</v>
      </c>
      <c r="K77" s="13" t="s">
        <v>30</v>
      </c>
      <c r="L77">
        <v>28</v>
      </c>
      <c r="M77">
        <v>8260</v>
      </c>
      <c r="N77" s="15">
        <f>O77/100</f>
        <v>0.51400000000000001</v>
      </c>
      <c r="O77" s="14">
        <v>51.4</v>
      </c>
      <c r="P77">
        <v>44.7</v>
      </c>
      <c r="Q77">
        <v>0.62</v>
      </c>
      <c r="R77">
        <v>1.29</v>
      </c>
      <c r="S77">
        <v>0.53</v>
      </c>
      <c r="T77" s="15">
        <f t="shared" si="4"/>
        <v>0.28100000000000003</v>
      </c>
      <c r="U77">
        <v>28.1</v>
      </c>
      <c r="V77">
        <v>53</v>
      </c>
      <c r="W77" s="12">
        <v>5.0999999999999996</v>
      </c>
      <c r="X77" s="6">
        <v>236</v>
      </c>
      <c r="Y77" s="11">
        <f>VLOOKUP(B77,calculo!$C$5:$D$29,2,FALSE)</f>
        <v>0.17074063947425855</v>
      </c>
      <c r="Z77" s="11">
        <f>VLOOKUP(B77,calculo!$C$5:$E$29,3,FALSE)</f>
        <v>0.10120107004834433</v>
      </c>
      <c r="AA77" s="12">
        <f t="shared" si="5"/>
        <v>1821.6577540106953</v>
      </c>
    </row>
    <row r="78" spans="1:27">
      <c r="A78">
        <v>2022</v>
      </c>
      <c r="B78" s="13" t="s">
        <v>41</v>
      </c>
      <c r="C78" s="13" t="s">
        <v>42</v>
      </c>
      <c r="D78" s="12">
        <v>79.760000000000005</v>
      </c>
      <c r="E78" s="17">
        <f t="shared" si="3"/>
        <v>79760</v>
      </c>
      <c r="F78" s="12">
        <v>11606.7</v>
      </c>
      <c r="G78" s="7">
        <v>11</v>
      </c>
      <c r="H78" s="7">
        <v>30.1</v>
      </c>
      <c r="I78" s="12">
        <v>86.9</v>
      </c>
      <c r="J78" s="13" t="s">
        <v>35</v>
      </c>
      <c r="K78" s="13" t="s">
        <v>36</v>
      </c>
      <c r="L78">
        <v>77</v>
      </c>
      <c r="M78">
        <v>19250</v>
      </c>
      <c r="N78" s="15">
        <f>O78/100</f>
        <v>0.81700000000000006</v>
      </c>
      <c r="O78" s="14">
        <v>81.7</v>
      </c>
      <c r="P78">
        <v>69.900000000000006</v>
      </c>
      <c r="Q78">
        <v>0.67</v>
      </c>
      <c r="R78">
        <v>0.82</v>
      </c>
      <c r="S78">
        <v>0</v>
      </c>
      <c r="T78" s="15">
        <f t="shared" si="4"/>
        <v>0.30499999999999999</v>
      </c>
      <c r="U78">
        <v>30.5</v>
      </c>
      <c r="V78">
        <v>56</v>
      </c>
      <c r="W78" s="12">
        <v>18.3</v>
      </c>
      <c r="X78" s="6">
        <v>34</v>
      </c>
      <c r="Y78" s="11">
        <f>VLOOKUP(B78,calculo!$C$5:$D$29,2,FALSE)</f>
        <v>0.17074063947425855</v>
      </c>
      <c r="Z78" s="11">
        <f>VLOOKUP(B78,calculo!$C$5:$E$29,3,FALSE)</f>
        <v>0.10120107004834433</v>
      </c>
      <c r="AA78" s="12">
        <f t="shared" si="5"/>
        <v>7250.909090909091</v>
      </c>
    </row>
    <row r="79" spans="1:27">
      <c r="A79">
        <v>2023</v>
      </c>
      <c r="B79" s="13" t="s">
        <v>41</v>
      </c>
      <c r="C79" s="13" t="s">
        <v>42</v>
      </c>
      <c r="D79" s="12">
        <v>93.38</v>
      </c>
      <c r="E79" s="17">
        <f t="shared" si="3"/>
        <v>93380</v>
      </c>
      <c r="F79" s="12">
        <v>12133.5</v>
      </c>
      <c r="G79" s="7">
        <v>42.3</v>
      </c>
      <c r="H79" s="7">
        <v>86.5</v>
      </c>
      <c r="I79" s="12">
        <v>100.8</v>
      </c>
      <c r="J79" s="13" t="s">
        <v>34</v>
      </c>
      <c r="K79" s="13" t="s">
        <v>36</v>
      </c>
      <c r="L79">
        <v>23</v>
      </c>
      <c r="M79">
        <v>3450</v>
      </c>
      <c r="N79" s="15">
        <f>O79/100</f>
        <v>0.56200000000000006</v>
      </c>
      <c r="O79" s="14">
        <v>56.2</v>
      </c>
      <c r="P79">
        <v>96.3</v>
      </c>
      <c r="Q79">
        <v>0.78</v>
      </c>
      <c r="R79">
        <v>0.88</v>
      </c>
      <c r="S79">
        <v>0</v>
      </c>
      <c r="T79" s="15">
        <f t="shared" si="4"/>
        <v>0.30499999999999999</v>
      </c>
      <c r="U79">
        <v>30.5</v>
      </c>
      <c r="V79">
        <v>59</v>
      </c>
      <c r="W79" s="12">
        <v>4</v>
      </c>
      <c r="X79" s="6">
        <v>320</v>
      </c>
      <c r="Y79" s="11">
        <f>VLOOKUP(B79,calculo!$C$5:$D$29,2,FALSE)</f>
        <v>0.17074063947425855</v>
      </c>
      <c r="Z79" s="11">
        <f>VLOOKUP(B79,calculo!$C$5:$E$29,3,FALSE)</f>
        <v>0.10120107004834433</v>
      </c>
      <c r="AA79" s="12">
        <f t="shared" si="5"/>
        <v>2207.5650118203312</v>
      </c>
    </row>
    <row r="80" spans="1:27">
      <c r="A80">
        <v>2024</v>
      </c>
      <c r="B80" s="13" t="s">
        <v>41</v>
      </c>
      <c r="C80" s="13" t="s">
        <v>42</v>
      </c>
      <c r="D80" s="12">
        <v>109.32</v>
      </c>
      <c r="E80" s="17">
        <f t="shared" si="3"/>
        <v>109320</v>
      </c>
      <c r="F80" s="12">
        <v>15940.8</v>
      </c>
      <c r="G80" s="7">
        <v>46</v>
      </c>
      <c r="H80" s="7">
        <v>127.7</v>
      </c>
      <c r="I80" s="12">
        <v>121.1</v>
      </c>
      <c r="J80" s="13" t="s">
        <v>35</v>
      </c>
      <c r="K80" s="13" t="s">
        <v>30</v>
      </c>
      <c r="L80">
        <v>105</v>
      </c>
      <c r="M80">
        <v>17535</v>
      </c>
      <c r="N80" s="15">
        <f>O80/100</f>
        <v>0.72</v>
      </c>
      <c r="O80" s="14">
        <v>72</v>
      </c>
      <c r="P80">
        <v>41.6</v>
      </c>
      <c r="Q80">
        <v>0.78</v>
      </c>
      <c r="R80">
        <v>0.94</v>
      </c>
      <c r="S80">
        <v>0</v>
      </c>
      <c r="T80" s="15">
        <f t="shared" si="4"/>
        <v>0.33399999999999996</v>
      </c>
      <c r="U80">
        <v>33.4</v>
      </c>
      <c r="V80">
        <v>62</v>
      </c>
      <c r="W80" s="12">
        <v>32.5</v>
      </c>
      <c r="X80" s="6">
        <v>419</v>
      </c>
      <c r="Y80" s="11">
        <f>VLOOKUP(B80,calculo!$C$5:$D$29,2,FALSE)</f>
        <v>0.17074063947425855</v>
      </c>
      <c r="Z80" s="11">
        <f>VLOOKUP(B80,calculo!$C$5:$E$29,3,FALSE)</f>
        <v>0.10120107004834433</v>
      </c>
      <c r="AA80" s="12">
        <f t="shared" si="5"/>
        <v>2376.521739130435</v>
      </c>
    </row>
    <row r="81" spans="1:27">
      <c r="A81">
        <v>2025</v>
      </c>
      <c r="B81" s="13" t="s">
        <v>41</v>
      </c>
      <c r="C81" s="13" t="s">
        <v>42</v>
      </c>
      <c r="D81" s="12">
        <v>127.99</v>
      </c>
      <c r="E81" s="17">
        <f t="shared" si="3"/>
        <v>127990</v>
      </c>
      <c r="F81" s="12">
        <v>6964.6</v>
      </c>
      <c r="G81" s="7">
        <v>36.1</v>
      </c>
      <c r="H81" s="7">
        <v>126.4</v>
      </c>
      <c r="I81" s="12">
        <v>96.7</v>
      </c>
      <c r="J81" s="13" t="s">
        <v>29</v>
      </c>
      <c r="K81" s="13" t="s">
        <v>32</v>
      </c>
      <c r="L81">
        <v>90</v>
      </c>
      <c r="M81">
        <v>26910</v>
      </c>
      <c r="N81" s="15">
        <f>O81/100</f>
        <v>0.63400000000000001</v>
      </c>
      <c r="O81" s="14">
        <v>63.4</v>
      </c>
      <c r="P81">
        <v>94.3</v>
      </c>
      <c r="Q81">
        <v>0.91</v>
      </c>
      <c r="R81">
        <v>1</v>
      </c>
      <c r="S81">
        <v>0</v>
      </c>
      <c r="T81" s="15">
        <f t="shared" si="4"/>
        <v>0.34200000000000003</v>
      </c>
      <c r="U81">
        <v>34.200000000000003</v>
      </c>
      <c r="V81">
        <v>65</v>
      </c>
      <c r="W81" s="12">
        <v>20.5</v>
      </c>
      <c r="X81" s="6">
        <v>324</v>
      </c>
      <c r="Y81" s="11">
        <f>VLOOKUP(B81,calculo!$C$5:$D$29,2,FALSE)</f>
        <v>0.17074063947425855</v>
      </c>
      <c r="Z81" s="11">
        <f>VLOOKUP(B81,calculo!$C$5:$E$29,3,FALSE)</f>
        <v>0.10120107004834433</v>
      </c>
      <c r="AA81" s="12">
        <f t="shared" si="5"/>
        <v>3545.4293628808864</v>
      </c>
    </row>
    <row r="82" spans="1:27">
      <c r="A82">
        <v>2010</v>
      </c>
      <c r="B82" s="13" t="s">
        <v>43</v>
      </c>
      <c r="C82" s="13" t="s">
        <v>42</v>
      </c>
      <c r="D82" s="12">
        <v>14.22</v>
      </c>
      <c r="E82" s="17">
        <f t="shared" si="3"/>
        <v>14220</v>
      </c>
      <c r="F82" s="12">
        <v>1164.7</v>
      </c>
      <c r="G82" s="7">
        <v>50.1</v>
      </c>
      <c r="H82" s="7">
        <v>78.8</v>
      </c>
      <c r="I82" s="12">
        <v>101.6</v>
      </c>
      <c r="J82" s="13" t="s">
        <v>33</v>
      </c>
      <c r="K82" s="13" t="s">
        <v>32</v>
      </c>
      <c r="L82">
        <v>103</v>
      </c>
      <c r="M82">
        <v>16171</v>
      </c>
      <c r="N82" s="15">
        <f>O82/100</f>
        <v>0.81299999999999994</v>
      </c>
      <c r="O82" s="14">
        <v>81.3</v>
      </c>
      <c r="P82">
        <v>50.5</v>
      </c>
      <c r="Q82">
        <v>0.1</v>
      </c>
      <c r="R82">
        <v>0.1</v>
      </c>
      <c r="S82">
        <v>0</v>
      </c>
      <c r="T82" s="15">
        <f t="shared" si="4"/>
        <v>0.10099999999999999</v>
      </c>
      <c r="U82">
        <v>10.1</v>
      </c>
      <c r="V82">
        <v>20</v>
      </c>
      <c r="W82" s="12">
        <v>18.600000000000001</v>
      </c>
      <c r="X82" s="6">
        <v>192</v>
      </c>
      <c r="Y82" s="11">
        <f>VLOOKUP(B82,calculo!$C$5:$D$29,2,FALSE)</f>
        <v>0.14483914893842997</v>
      </c>
      <c r="Z82" s="11">
        <f>VLOOKUP(B82,calculo!$C$5:$E$29,3,FALSE)</f>
        <v>0.14417629596311476</v>
      </c>
      <c r="AA82" s="12">
        <f t="shared" si="5"/>
        <v>283.83233532934133</v>
      </c>
    </row>
    <row r="83" spans="1:27">
      <c r="A83">
        <v>2011</v>
      </c>
      <c r="B83" s="13" t="s">
        <v>43</v>
      </c>
      <c r="C83" s="13" t="s">
        <v>42</v>
      </c>
      <c r="D83" s="12">
        <v>16.28</v>
      </c>
      <c r="E83" s="17">
        <f t="shared" si="3"/>
        <v>16280.000000000002</v>
      </c>
      <c r="F83" s="12">
        <v>2122.8000000000002</v>
      </c>
      <c r="G83" s="7">
        <v>33.200000000000003</v>
      </c>
      <c r="H83" s="7">
        <v>93.8</v>
      </c>
      <c r="I83" s="12">
        <v>118.5</v>
      </c>
      <c r="J83" s="13" t="s">
        <v>31</v>
      </c>
      <c r="K83" s="13" t="s">
        <v>30</v>
      </c>
      <c r="L83">
        <v>37</v>
      </c>
      <c r="M83">
        <v>2405</v>
      </c>
      <c r="N83" s="15">
        <f>O83/100</f>
        <v>0.68799999999999994</v>
      </c>
      <c r="O83" s="14">
        <v>68.8</v>
      </c>
      <c r="P83">
        <v>59.6</v>
      </c>
      <c r="Q83">
        <v>0.17</v>
      </c>
      <c r="R83">
        <v>0.16</v>
      </c>
      <c r="S83">
        <v>0</v>
      </c>
      <c r="T83" s="15">
        <f t="shared" si="4"/>
        <v>7.9000000000000001E-2</v>
      </c>
      <c r="U83">
        <v>7.9</v>
      </c>
      <c r="V83">
        <v>23</v>
      </c>
      <c r="W83" s="12">
        <v>9.5</v>
      </c>
      <c r="X83" s="6">
        <v>43</v>
      </c>
      <c r="Y83" s="11">
        <f>VLOOKUP(B83,calculo!$C$5:$D$29,2,FALSE)</f>
        <v>0.14483914893842997</v>
      </c>
      <c r="Z83" s="11">
        <f>VLOOKUP(B83,calculo!$C$5:$E$29,3,FALSE)</f>
        <v>0.14417629596311476</v>
      </c>
      <c r="AA83" s="12">
        <f t="shared" si="5"/>
        <v>490.36144578313252</v>
      </c>
    </row>
    <row r="84" spans="1:27">
      <c r="A84">
        <v>2012</v>
      </c>
      <c r="B84" s="13" t="s">
        <v>43</v>
      </c>
      <c r="C84" s="13" t="s">
        <v>42</v>
      </c>
      <c r="D84" s="12">
        <v>18.64</v>
      </c>
      <c r="E84" s="17">
        <f t="shared" si="3"/>
        <v>18640</v>
      </c>
      <c r="F84" s="12">
        <v>2420.6</v>
      </c>
      <c r="G84" s="7">
        <v>59.9</v>
      </c>
      <c r="H84" s="7">
        <v>131.80000000000001</v>
      </c>
      <c r="I84" s="12">
        <v>122.1</v>
      </c>
      <c r="J84" s="13" t="s">
        <v>35</v>
      </c>
      <c r="K84" s="13" t="s">
        <v>32</v>
      </c>
      <c r="L84">
        <v>97</v>
      </c>
      <c r="M84">
        <v>10767</v>
      </c>
      <c r="N84" s="15">
        <f>O84/100</f>
        <v>0.67900000000000005</v>
      </c>
      <c r="O84" s="14">
        <v>67.900000000000006</v>
      </c>
      <c r="P84">
        <v>31.9</v>
      </c>
      <c r="Q84">
        <v>0.14000000000000001</v>
      </c>
      <c r="R84">
        <v>0.22</v>
      </c>
      <c r="S84">
        <v>0</v>
      </c>
      <c r="T84" s="15">
        <f t="shared" si="4"/>
        <v>0.13400000000000001</v>
      </c>
      <c r="U84">
        <v>13.4</v>
      </c>
      <c r="V84">
        <v>26</v>
      </c>
      <c r="W84" s="12">
        <v>26.2</v>
      </c>
      <c r="X84" s="6">
        <v>368</v>
      </c>
      <c r="Y84" s="11">
        <f>VLOOKUP(B84,calculo!$C$5:$D$29,2,FALSE)</f>
        <v>0.14483914893842997</v>
      </c>
      <c r="Z84" s="11">
        <f>VLOOKUP(B84,calculo!$C$5:$E$29,3,FALSE)</f>
        <v>0.14417629596311476</v>
      </c>
      <c r="AA84" s="12">
        <f t="shared" si="5"/>
        <v>311.18530884808013</v>
      </c>
    </row>
    <row r="85" spans="1:27">
      <c r="A85">
        <v>2013</v>
      </c>
      <c r="B85" s="13" t="s">
        <v>43</v>
      </c>
      <c r="C85" s="13" t="s">
        <v>42</v>
      </c>
      <c r="D85" s="12">
        <v>21.34</v>
      </c>
      <c r="E85" s="17">
        <f t="shared" si="3"/>
        <v>21340</v>
      </c>
      <c r="F85" s="12">
        <v>1074</v>
      </c>
      <c r="G85" s="7">
        <v>29.1</v>
      </c>
      <c r="H85" s="7">
        <v>60.9</v>
      </c>
      <c r="I85" s="12">
        <v>132.30000000000001</v>
      </c>
      <c r="J85" s="13" t="s">
        <v>35</v>
      </c>
      <c r="K85" s="13" t="s">
        <v>36</v>
      </c>
      <c r="L85">
        <v>22</v>
      </c>
      <c r="M85">
        <v>5258</v>
      </c>
      <c r="N85" s="15">
        <f>O85/100</f>
        <v>0.94400000000000006</v>
      </c>
      <c r="O85" s="14">
        <v>94.4</v>
      </c>
      <c r="P85">
        <v>57.1</v>
      </c>
      <c r="Q85">
        <v>0.19</v>
      </c>
      <c r="R85">
        <v>0.28000000000000003</v>
      </c>
      <c r="S85">
        <v>0</v>
      </c>
      <c r="T85" s="15">
        <f t="shared" si="4"/>
        <v>0.153</v>
      </c>
      <c r="U85">
        <v>15.3</v>
      </c>
      <c r="V85">
        <v>29</v>
      </c>
      <c r="W85" s="12">
        <v>6.5</v>
      </c>
      <c r="X85" s="6">
        <v>314</v>
      </c>
      <c r="Y85" s="11">
        <f>VLOOKUP(B85,calculo!$C$5:$D$29,2,FALSE)</f>
        <v>0.14483914893842997</v>
      </c>
      <c r="Z85" s="11">
        <f>VLOOKUP(B85,calculo!$C$5:$E$29,3,FALSE)</f>
        <v>0.14417629596311476</v>
      </c>
      <c r="AA85" s="12">
        <f t="shared" si="5"/>
        <v>733.33333333333326</v>
      </c>
    </row>
    <row r="86" spans="1:27">
      <c r="A86">
        <v>2014</v>
      </c>
      <c r="B86" s="13" t="s">
        <v>43</v>
      </c>
      <c r="C86" s="13" t="s">
        <v>42</v>
      </c>
      <c r="D86" s="12">
        <v>24.43</v>
      </c>
      <c r="E86" s="17">
        <f t="shared" si="3"/>
        <v>24430</v>
      </c>
      <c r="F86" s="12">
        <v>3557.6</v>
      </c>
      <c r="G86" s="7">
        <v>48.3</v>
      </c>
      <c r="H86" s="7">
        <v>97.4</v>
      </c>
      <c r="I86" s="12">
        <v>100.6</v>
      </c>
      <c r="J86" s="13" t="s">
        <v>34</v>
      </c>
      <c r="K86" s="13" t="s">
        <v>30</v>
      </c>
      <c r="L86">
        <v>43</v>
      </c>
      <c r="M86">
        <v>10019</v>
      </c>
      <c r="N86" s="15">
        <f>O86/100</f>
        <v>0.77599999999999991</v>
      </c>
      <c r="O86" s="14">
        <v>77.599999999999994</v>
      </c>
      <c r="P86">
        <v>37.5</v>
      </c>
      <c r="Q86">
        <v>0.05</v>
      </c>
      <c r="R86">
        <v>0.34</v>
      </c>
      <c r="S86">
        <v>0</v>
      </c>
      <c r="T86" s="15">
        <f t="shared" si="4"/>
        <v>0.161</v>
      </c>
      <c r="U86">
        <v>16.100000000000001</v>
      </c>
      <c r="V86">
        <v>32</v>
      </c>
      <c r="W86" s="12">
        <v>16</v>
      </c>
      <c r="X86" s="6">
        <v>61</v>
      </c>
      <c r="Y86" s="11">
        <f>VLOOKUP(B86,calculo!$C$5:$D$29,2,FALSE)</f>
        <v>0.14483914893842997</v>
      </c>
      <c r="Z86" s="11">
        <f>VLOOKUP(B86,calculo!$C$5:$E$29,3,FALSE)</f>
        <v>0.14417629596311476</v>
      </c>
      <c r="AA86" s="12">
        <f t="shared" si="5"/>
        <v>505.79710144927537</v>
      </c>
    </row>
    <row r="87" spans="1:27">
      <c r="A87">
        <v>2015</v>
      </c>
      <c r="B87" s="13" t="s">
        <v>43</v>
      </c>
      <c r="C87" s="13" t="s">
        <v>42</v>
      </c>
      <c r="D87" s="12">
        <v>27.97</v>
      </c>
      <c r="E87" s="17">
        <f t="shared" si="3"/>
        <v>27970</v>
      </c>
      <c r="F87" s="12">
        <v>3741.3</v>
      </c>
      <c r="G87" s="7">
        <v>15.4</v>
      </c>
      <c r="H87" s="7">
        <v>48.6</v>
      </c>
      <c r="I87" s="12">
        <v>44.4</v>
      </c>
      <c r="J87" s="13" t="s">
        <v>35</v>
      </c>
      <c r="K87" s="13" t="s">
        <v>36</v>
      </c>
      <c r="L87">
        <v>111</v>
      </c>
      <c r="M87">
        <v>30525</v>
      </c>
      <c r="N87" s="15">
        <f>O87/100</f>
        <v>0.93099999999999994</v>
      </c>
      <c r="O87" s="14">
        <v>93.1</v>
      </c>
      <c r="P87">
        <v>87</v>
      </c>
      <c r="Q87">
        <v>0.09</v>
      </c>
      <c r="R87">
        <v>0.4</v>
      </c>
      <c r="S87">
        <v>0</v>
      </c>
      <c r="T87" s="15">
        <f t="shared" si="4"/>
        <v>0.17</v>
      </c>
      <c r="U87">
        <v>17</v>
      </c>
      <c r="V87">
        <v>35</v>
      </c>
      <c r="W87" s="12">
        <v>27.3</v>
      </c>
      <c r="X87" s="6">
        <v>14</v>
      </c>
      <c r="Y87" s="11">
        <f>VLOOKUP(B87,calculo!$C$5:$D$29,2,FALSE)</f>
        <v>0.14483914893842997</v>
      </c>
      <c r="Z87" s="11">
        <f>VLOOKUP(B87,calculo!$C$5:$E$29,3,FALSE)</f>
        <v>0.14417629596311476</v>
      </c>
      <c r="AA87" s="12">
        <f t="shared" si="5"/>
        <v>1816.2337662337661</v>
      </c>
    </row>
    <row r="88" spans="1:27">
      <c r="A88">
        <v>2016</v>
      </c>
      <c r="B88" s="13" t="s">
        <v>43</v>
      </c>
      <c r="C88" s="13" t="s">
        <v>42</v>
      </c>
      <c r="D88" s="12">
        <v>32.020000000000003</v>
      </c>
      <c r="E88" s="17">
        <f t="shared" si="3"/>
        <v>32020.000000000004</v>
      </c>
      <c r="F88" s="12">
        <v>3829.2</v>
      </c>
      <c r="G88" s="7">
        <v>10.9</v>
      </c>
      <c r="H88" s="7">
        <v>34.200000000000003</v>
      </c>
      <c r="I88" s="12">
        <v>56.9</v>
      </c>
      <c r="J88" s="13" t="s">
        <v>29</v>
      </c>
      <c r="K88" s="13" t="s">
        <v>30</v>
      </c>
      <c r="L88">
        <v>115</v>
      </c>
      <c r="M88">
        <v>15870</v>
      </c>
      <c r="N88" s="15">
        <f>O88/100</f>
        <v>0.70599999999999996</v>
      </c>
      <c r="O88" s="14">
        <v>70.599999999999994</v>
      </c>
      <c r="P88">
        <v>54.3</v>
      </c>
      <c r="Q88">
        <v>0.25</v>
      </c>
      <c r="R88">
        <v>0.46</v>
      </c>
      <c r="S88">
        <v>0</v>
      </c>
      <c r="T88" s="15">
        <f t="shared" si="4"/>
        <v>0.18899999999999997</v>
      </c>
      <c r="U88">
        <v>18.899999999999999</v>
      </c>
      <c r="V88">
        <v>38</v>
      </c>
      <c r="W88" s="12">
        <v>34.299999999999997</v>
      </c>
      <c r="X88" s="6">
        <v>132</v>
      </c>
      <c r="Y88" s="11">
        <f>VLOOKUP(B88,calculo!$C$5:$D$29,2,FALSE)</f>
        <v>0.14483914893842997</v>
      </c>
      <c r="Z88" s="11">
        <f>VLOOKUP(B88,calculo!$C$5:$E$29,3,FALSE)</f>
        <v>0.14417629596311476</v>
      </c>
      <c r="AA88" s="12">
        <f t="shared" si="5"/>
        <v>2937.6146788990827</v>
      </c>
    </row>
    <row r="89" spans="1:27">
      <c r="A89">
        <v>2017</v>
      </c>
      <c r="B89" s="13" t="s">
        <v>43</v>
      </c>
      <c r="C89" s="13" t="s">
        <v>42</v>
      </c>
      <c r="D89" s="12">
        <v>36.65</v>
      </c>
      <c r="E89" s="17">
        <f t="shared" si="3"/>
        <v>36650</v>
      </c>
      <c r="F89" s="12">
        <v>3851.7</v>
      </c>
      <c r="G89" s="7">
        <v>7</v>
      </c>
      <c r="H89" s="7">
        <v>16.3</v>
      </c>
      <c r="I89" s="12">
        <v>74.7</v>
      </c>
      <c r="J89" s="13" t="s">
        <v>33</v>
      </c>
      <c r="K89" s="13" t="s">
        <v>30</v>
      </c>
      <c r="L89">
        <v>76</v>
      </c>
      <c r="M89">
        <v>13832</v>
      </c>
      <c r="N89" s="15">
        <f>O89/100</f>
        <v>0.93299999999999994</v>
      </c>
      <c r="O89" s="14">
        <v>93.3</v>
      </c>
      <c r="P89">
        <v>33.200000000000003</v>
      </c>
      <c r="Q89">
        <v>0.28999999999999998</v>
      </c>
      <c r="R89">
        <v>0.52</v>
      </c>
      <c r="S89">
        <v>0</v>
      </c>
      <c r="T89" s="15">
        <f t="shared" si="4"/>
        <v>0.23800000000000002</v>
      </c>
      <c r="U89">
        <v>23.8</v>
      </c>
      <c r="V89">
        <v>41</v>
      </c>
      <c r="W89" s="12">
        <v>12.3</v>
      </c>
      <c r="X89" s="6">
        <v>293</v>
      </c>
      <c r="Y89" s="11">
        <f>VLOOKUP(B89,calculo!$C$5:$D$29,2,FALSE)</f>
        <v>0.14483914893842997</v>
      </c>
      <c r="Z89" s="11">
        <f>VLOOKUP(B89,calculo!$C$5:$E$29,3,FALSE)</f>
        <v>0.14417629596311476</v>
      </c>
      <c r="AA89" s="12">
        <f t="shared" si="5"/>
        <v>5235.7142857142853</v>
      </c>
    </row>
    <row r="90" spans="1:27">
      <c r="A90">
        <v>2018</v>
      </c>
      <c r="B90" s="13" t="s">
        <v>43</v>
      </c>
      <c r="C90" s="13" t="s">
        <v>42</v>
      </c>
      <c r="D90" s="12">
        <v>41.96</v>
      </c>
      <c r="E90" s="17">
        <f t="shared" si="3"/>
        <v>41960</v>
      </c>
      <c r="F90" s="12">
        <v>4584</v>
      </c>
      <c r="G90" s="7">
        <v>49.8</v>
      </c>
      <c r="H90" s="7">
        <v>109.4</v>
      </c>
      <c r="I90" s="12">
        <v>111.4</v>
      </c>
      <c r="J90" s="13" t="s">
        <v>34</v>
      </c>
      <c r="K90" s="13" t="s">
        <v>36</v>
      </c>
      <c r="L90">
        <v>95</v>
      </c>
      <c r="M90">
        <v>24130</v>
      </c>
      <c r="N90" s="15">
        <f>O90/100</f>
        <v>0.57100000000000006</v>
      </c>
      <c r="O90" s="14">
        <v>57.1</v>
      </c>
      <c r="P90">
        <v>37</v>
      </c>
      <c r="Q90">
        <v>0.17</v>
      </c>
      <c r="R90">
        <v>0.57999999999999996</v>
      </c>
      <c r="S90">
        <v>0</v>
      </c>
      <c r="T90" s="15">
        <f t="shared" si="4"/>
        <v>0.21600000000000003</v>
      </c>
      <c r="U90">
        <v>21.6</v>
      </c>
      <c r="V90">
        <v>44</v>
      </c>
      <c r="W90" s="12">
        <v>20.6</v>
      </c>
      <c r="X90" s="6">
        <v>278</v>
      </c>
      <c r="Y90" s="11">
        <f>VLOOKUP(B90,calculo!$C$5:$D$29,2,FALSE)</f>
        <v>0.14483914893842997</v>
      </c>
      <c r="Z90" s="11">
        <f>VLOOKUP(B90,calculo!$C$5:$E$29,3,FALSE)</f>
        <v>0.14417629596311476</v>
      </c>
      <c r="AA90" s="12">
        <f t="shared" si="5"/>
        <v>842.57028112449802</v>
      </c>
    </row>
    <row r="91" spans="1:27">
      <c r="A91">
        <v>2019</v>
      </c>
      <c r="B91" s="13" t="s">
        <v>43</v>
      </c>
      <c r="C91" s="13" t="s">
        <v>42</v>
      </c>
      <c r="D91" s="12">
        <v>48.04</v>
      </c>
      <c r="E91" s="17">
        <f t="shared" si="3"/>
        <v>48040</v>
      </c>
      <c r="F91" s="12">
        <v>5669.4</v>
      </c>
      <c r="G91" s="7">
        <v>37.9</v>
      </c>
      <c r="H91" s="7">
        <v>113.8</v>
      </c>
      <c r="I91" s="12">
        <v>49</v>
      </c>
      <c r="J91" s="13" t="s">
        <v>34</v>
      </c>
      <c r="K91" s="13" t="s">
        <v>32</v>
      </c>
      <c r="L91">
        <v>111</v>
      </c>
      <c r="M91">
        <v>10434</v>
      </c>
      <c r="N91" s="15">
        <f>O91/100</f>
        <v>0.872</v>
      </c>
      <c r="O91" s="14">
        <v>87.2</v>
      </c>
      <c r="P91">
        <v>34.700000000000003</v>
      </c>
      <c r="Q91">
        <v>0.45</v>
      </c>
      <c r="R91">
        <v>0.64</v>
      </c>
      <c r="S91">
        <v>0</v>
      </c>
      <c r="T91" s="15">
        <f t="shared" si="4"/>
        <v>0.26700000000000002</v>
      </c>
      <c r="U91">
        <v>26.7</v>
      </c>
      <c r="V91">
        <v>47</v>
      </c>
      <c r="W91" s="12">
        <v>40.799999999999997</v>
      </c>
      <c r="X91" s="6">
        <v>372</v>
      </c>
      <c r="Y91" s="11">
        <f>VLOOKUP(B91,calculo!$C$5:$D$29,2,FALSE)</f>
        <v>0.14483914893842997</v>
      </c>
      <c r="Z91" s="11">
        <f>VLOOKUP(B91,calculo!$C$5:$E$29,3,FALSE)</f>
        <v>0.14417629596311476</v>
      </c>
      <c r="AA91" s="12">
        <f t="shared" si="5"/>
        <v>1267.5461741424804</v>
      </c>
    </row>
    <row r="92" spans="1:27">
      <c r="A92">
        <v>2020</v>
      </c>
      <c r="B92" s="13" t="s">
        <v>43</v>
      </c>
      <c r="C92" s="13" t="s">
        <v>42</v>
      </c>
      <c r="D92" s="12">
        <v>55</v>
      </c>
      <c r="E92" s="17">
        <f t="shared" si="3"/>
        <v>55000</v>
      </c>
      <c r="F92" s="12">
        <v>4172.7</v>
      </c>
      <c r="G92" s="7">
        <v>13.2</v>
      </c>
      <c r="H92" s="7">
        <v>22</v>
      </c>
      <c r="I92" s="12">
        <v>69.2</v>
      </c>
      <c r="J92" s="13" t="s">
        <v>33</v>
      </c>
      <c r="K92" s="13" t="s">
        <v>36</v>
      </c>
      <c r="L92">
        <v>109</v>
      </c>
      <c r="M92">
        <v>7194</v>
      </c>
      <c r="N92" s="15">
        <f>O92/100</f>
        <v>0.85099999999999998</v>
      </c>
      <c r="O92" s="14">
        <v>85.1</v>
      </c>
      <c r="P92">
        <v>33</v>
      </c>
      <c r="Q92">
        <v>0.57999999999999996</v>
      </c>
      <c r="R92">
        <v>0.99</v>
      </c>
      <c r="S92">
        <v>0.28999999999999998</v>
      </c>
      <c r="T92" s="15">
        <f t="shared" si="4"/>
        <v>0.27399999999999997</v>
      </c>
      <c r="U92">
        <v>27.4</v>
      </c>
      <c r="V92">
        <v>50</v>
      </c>
      <c r="W92" s="12">
        <v>19.5</v>
      </c>
      <c r="X92" s="6">
        <v>423</v>
      </c>
      <c r="Y92" s="11">
        <f>VLOOKUP(B92,calculo!$C$5:$D$29,2,FALSE)</f>
        <v>0.14483914893842997</v>
      </c>
      <c r="Z92" s="11">
        <f>VLOOKUP(B92,calculo!$C$5:$E$29,3,FALSE)</f>
        <v>0.14417629596311476</v>
      </c>
      <c r="AA92" s="12">
        <f t="shared" si="5"/>
        <v>4166.666666666667</v>
      </c>
    </row>
    <row r="93" spans="1:27">
      <c r="A93">
        <v>2021</v>
      </c>
      <c r="B93" s="13" t="s">
        <v>43</v>
      </c>
      <c r="C93" s="13" t="s">
        <v>42</v>
      </c>
      <c r="D93" s="12">
        <v>62.96</v>
      </c>
      <c r="E93" s="17">
        <f t="shared" si="3"/>
        <v>62960</v>
      </c>
      <c r="F93" s="12">
        <v>5617.4</v>
      </c>
      <c r="G93" s="7">
        <v>12.4</v>
      </c>
      <c r="H93" s="7">
        <v>37.299999999999997</v>
      </c>
      <c r="I93" s="12">
        <v>124.7</v>
      </c>
      <c r="J93" s="13" t="s">
        <v>31</v>
      </c>
      <c r="K93" s="13" t="s">
        <v>32</v>
      </c>
      <c r="L93">
        <v>24</v>
      </c>
      <c r="M93">
        <v>3480</v>
      </c>
      <c r="N93" s="15">
        <f>O93/100</f>
        <v>0.57499999999999996</v>
      </c>
      <c r="O93" s="14">
        <v>57.5</v>
      </c>
      <c r="P93">
        <v>82.8</v>
      </c>
      <c r="Q93">
        <v>0.64</v>
      </c>
      <c r="R93">
        <v>0.97</v>
      </c>
      <c r="S93">
        <v>0.21</v>
      </c>
      <c r="T93" s="15">
        <f t="shared" si="4"/>
        <v>0.27899999999999997</v>
      </c>
      <c r="U93">
        <v>27.9</v>
      </c>
      <c r="V93">
        <v>53</v>
      </c>
      <c r="W93" s="12">
        <v>8.1999999999999993</v>
      </c>
      <c r="X93" s="6">
        <v>410</v>
      </c>
      <c r="Y93" s="11">
        <f>VLOOKUP(B93,calculo!$C$5:$D$29,2,FALSE)</f>
        <v>0.14483914893842997</v>
      </c>
      <c r="Z93" s="11">
        <f>VLOOKUP(B93,calculo!$C$5:$E$29,3,FALSE)</f>
        <v>0.14417629596311476</v>
      </c>
      <c r="AA93" s="12">
        <f t="shared" si="5"/>
        <v>5077.4193548387093</v>
      </c>
    </row>
    <row r="94" spans="1:27">
      <c r="A94">
        <v>2022</v>
      </c>
      <c r="B94" s="13" t="s">
        <v>43</v>
      </c>
      <c r="C94" s="13" t="s">
        <v>42</v>
      </c>
      <c r="D94" s="12">
        <v>72.08</v>
      </c>
      <c r="E94" s="17">
        <f t="shared" si="3"/>
        <v>72080</v>
      </c>
      <c r="F94" s="12">
        <v>8080.1</v>
      </c>
      <c r="G94" s="7">
        <v>4.7</v>
      </c>
      <c r="H94" s="7">
        <v>15.1</v>
      </c>
      <c r="I94" s="12">
        <v>146.80000000000001</v>
      </c>
      <c r="J94" s="13" t="s">
        <v>34</v>
      </c>
      <c r="K94" s="13" t="s">
        <v>36</v>
      </c>
      <c r="L94">
        <v>33</v>
      </c>
      <c r="M94">
        <v>8349</v>
      </c>
      <c r="N94" s="15">
        <f>O94/100</f>
        <v>0.67299999999999993</v>
      </c>
      <c r="O94" s="14">
        <v>67.3</v>
      </c>
      <c r="P94">
        <v>29.9</v>
      </c>
      <c r="Q94">
        <v>0.56999999999999995</v>
      </c>
      <c r="R94">
        <v>0.82</v>
      </c>
      <c r="S94">
        <v>0</v>
      </c>
      <c r="T94" s="15">
        <f t="shared" si="4"/>
        <v>0.31900000000000001</v>
      </c>
      <c r="U94">
        <v>31.9</v>
      </c>
      <c r="V94">
        <v>56</v>
      </c>
      <c r="W94" s="12">
        <v>11.1</v>
      </c>
      <c r="X94" s="6">
        <v>42</v>
      </c>
      <c r="Y94" s="11">
        <f>VLOOKUP(B94,calculo!$C$5:$D$29,2,FALSE)</f>
        <v>0.14483914893842997</v>
      </c>
      <c r="Z94" s="11">
        <f>VLOOKUP(B94,calculo!$C$5:$E$29,3,FALSE)</f>
        <v>0.14417629596311476</v>
      </c>
      <c r="AA94" s="12">
        <f t="shared" si="5"/>
        <v>15336.170212765957</v>
      </c>
    </row>
    <row r="95" spans="1:27">
      <c r="A95">
        <v>2023</v>
      </c>
      <c r="B95" s="13" t="s">
        <v>43</v>
      </c>
      <c r="C95" s="13" t="s">
        <v>42</v>
      </c>
      <c r="D95" s="12">
        <v>82.53</v>
      </c>
      <c r="E95" s="17">
        <f t="shared" si="3"/>
        <v>82530</v>
      </c>
      <c r="F95" s="12">
        <v>10484.1</v>
      </c>
      <c r="G95" s="7">
        <v>41.6</v>
      </c>
      <c r="H95" s="7">
        <v>99.6</v>
      </c>
      <c r="I95" s="12">
        <v>62.8</v>
      </c>
      <c r="J95" s="13" t="s">
        <v>29</v>
      </c>
      <c r="K95" s="13" t="s">
        <v>36</v>
      </c>
      <c r="L95">
        <v>33</v>
      </c>
      <c r="M95">
        <v>1749</v>
      </c>
      <c r="N95" s="15">
        <f>O95/100</f>
        <v>0.57399999999999995</v>
      </c>
      <c r="O95" s="14">
        <v>57.4</v>
      </c>
      <c r="P95">
        <v>84.6</v>
      </c>
      <c r="Q95">
        <v>0.73</v>
      </c>
      <c r="R95">
        <v>0.88</v>
      </c>
      <c r="S95">
        <v>0</v>
      </c>
      <c r="T95" s="15">
        <f t="shared" si="4"/>
        <v>0.27600000000000002</v>
      </c>
      <c r="U95">
        <v>27.6</v>
      </c>
      <c r="V95">
        <v>59</v>
      </c>
      <c r="W95" s="12">
        <v>8.5</v>
      </c>
      <c r="X95" s="6">
        <v>166</v>
      </c>
      <c r="Y95" s="11">
        <f>VLOOKUP(B95,calculo!$C$5:$D$29,2,FALSE)</f>
        <v>0.14483914893842997</v>
      </c>
      <c r="Z95" s="11">
        <f>VLOOKUP(B95,calculo!$C$5:$E$29,3,FALSE)</f>
        <v>0.14417629596311476</v>
      </c>
      <c r="AA95" s="12">
        <f t="shared" si="5"/>
        <v>1983.8942307692307</v>
      </c>
    </row>
    <row r="96" spans="1:27">
      <c r="A96">
        <v>2024</v>
      </c>
      <c r="B96" s="13" t="s">
        <v>43</v>
      </c>
      <c r="C96" s="13" t="s">
        <v>42</v>
      </c>
      <c r="D96" s="12">
        <v>94.48</v>
      </c>
      <c r="E96" s="17">
        <f t="shared" si="3"/>
        <v>94480</v>
      </c>
      <c r="F96" s="12">
        <v>12025.5</v>
      </c>
      <c r="G96" s="7">
        <v>15.3</v>
      </c>
      <c r="H96" s="7">
        <v>27</v>
      </c>
      <c r="I96" s="12">
        <v>134.19999999999999</v>
      </c>
      <c r="J96" s="13" t="s">
        <v>29</v>
      </c>
      <c r="K96" s="13" t="s">
        <v>32</v>
      </c>
      <c r="L96">
        <v>112</v>
      </c>
      <c r="M96">
        <v>26096</v>
      </c>
      <c r="N96" s="15">
        <f>O96/100</f>
        <v>0.68900000000000006</v>
      </c>
      <c r="O96" s="14">
        <v>68.900000000000006</v>
      </c>
      <c r="P96">
        <v>72.900000000000006</v>
      </c>
      <c r="Q96">
        <v>0.86</v>
      </c>
      <c r="R96">
        <v>0.94</v>
      </c>
      <c r="S96">
        <v>0</v>
      </c>
      <c r="T96" s="15">
        <f t="shared" si="4"/>
        <v>0.32299999999999995</v>
      </c>
      <c r="U96">
        <v>32.299999999999997</v>
      </c>
      <c r="V96">
        <v>62</v>
      </c>
      <c r="W96" s="12">
        <v>28.9</v>
      </c>
      <c r="X96" s="6">
        <v>271</v>
      </c>
      <c r="Y96" s="11">
        <f>VLOOKUP(B96,calculo!$C$5:$D$29,2,FALSE)</f>
        <v>0.14483914893842997</v>
      </c>
      <c r="Z96" s="11">
        <f>VLOOKUP(B96,calculo!$C$5:$E$29,3,FALSE)</f>
        <v>0.14417629596311476</v>
      </c>
      <c r="AA96" s="12">
        <f t="shared" si="5"/>
        <v>6175.16339869281</v>
      </c>
    </row>
    <row r="97" spans="1:27">
      <c r="A97">
        <v>2025</v>
      </c>
      <c r="B97" s="13" t="s">
        <v>43</v>
      </c>
      <c r="C97" s="13" t="s">
        <v>42</v>
      </c>
      <c r="D97" s="12">
        <v>108.16</v>
      </c>
      <c r="E97" s="17">
        <f t="shared" si="3"/>
        <v>108160</v>
      </c>
      <c r="F97" s="12">
        <v>8782.2999999999993</v>
      </c>
      <c r="G97" s="7">
        <v>20.6</v>
      </c>
      <c r="H97" s="7">
        <v>60.8</v>
      </c>
      <c r="I97" s="12">
        <v>119.5</v>
      </c>
      <c r="J97" s="13" t="s">
        <v>31</v>
      </c>
      <c r="K97" s="13" t="s">
        <v>30</v>
      </c>
      <c r="L97">
        <v>39</v>
      </c>
      <c r="M97">
        <v>4407</v>
      </c>
      <c r="N97" s="15">
        <f>O97/100</f>
        <v>0.88900000000000001</v>
      </c>
      <c r="O97" s="14">
        <v>88.9</v>
      </c>
      <c r="P97">
        <v>60.5</v>
      </c>
      <c r="Q97">
        <v>0.88</v>
      </c>
      <c r="R97">
        <v>1</v>
      </c>
      <c r="S97">
        <v>0</v>
      </c>
      <c r="T97" s="15">
        <f t="shared" si="4"/>
        <v>0.38100000000000001</v>
      </c>
      <c r="U97">
        <v>38.1</v>
      </c>
      <c r="V97">
        <v>65</v>
      </c>
      <c r="W97" s="12">
        <v>14.3</v>
      </c>
      <c r="X97" s="6">
        <v>81</v>
      </c>
      <c r="Y97" s="11">
        <f>VLOOKUP(B97,calculo!$C$5:$D$29,2,FALSE)</f>
        <v>0.14483914893842997</v>
      </c>
      <c r="Z97" s="11">
        <f>VLOOKUP(B97,calculo!$C$5:$E$29,3,FALSE)</f>
        <v>0.14417629596311476</v>
      </c>
      <c r="AA97" s="12">
        <f t="shared" si="5"/>
        <v>5250.4854368932038</v>
      </c>
    </row>
    <row r="98" spans="1:27">
      <c r="A98">
        <v>2010</v>
      </c>
      <c r="B98" s="13" t="s">
        <v>44</v>
      </c>
      <c r="C98" s="13" t="s">
        <v>42</v>
      </c>
      <c r="D98" s="12">
        <v>3.23</v>
      </c>
      <c r="E98" s="17">
        <f t="shared" si="3"/>
        <v>3230</v>
      </c>
      <c r="F98" s="12">
        <v>167.2</v>
      </c>
      <c r="G98" s="7">
        <v>48.2</v>
      </c>
      <c r="H98" s="7">
        <v>100.7</v>
      </c>
      <c r="I98" s="12">
        <v>139.4</v>
      </c>
      <c r="J98" s="13" t="s">
        <v>35</v>
      </c>
      <c r="K98" s="13" t="s">
        <v>30</v>
      </c>
      <c r="L98">
        <v>7</v>
      </c>
      <c r="M98">
        <v>1379</v>
      </c>
      <c r="N98" s="15">
        <f>O98/100</f>
        <v>0.55299999999999994</v>
      </c>
      <c r="O98" s="14">
        <v>55.3</v>
      </c>
      <c r="P98">
        <v>34.4</v>
      </c>
      <c r="Q98">
        <v>0.18</v>
      </c>
      <c r="R98">
        <v>0.1</v>
      </c>
      <c r="S98">
        <v>0</v>
      </c>
      <c r="T98" s="15">
        <f t="shared" si="4"/>
        <v>0.05</v>
      </c>
      <c r="U98">
        <v>5</v>
      </c>
      <c r="V98">
        <v>20</v>
      </c>
      <c r="W98" s="12">
        <v>2.4</v>
      </c>
      <c r="X98" s="6">
        <v>245</v>
      </c>
      <c r="Y98" s="11">
        <f>VLOOKUP(B98,calculo!$C$5:$D$29,2,FALSE)</f>
        <v>9.0705729637499788E-2</v>
      </c>
      <c r="Z98" s="11">
        <f>VLOOKUP(B98,calculo!$C$5:$E$29,3,FALSE)</f>
        <v>0.104604667160068</v>
      </c>
      <c r="AA98" s="12">
        <f t="shared" si="5"/>
        <v>67.012448132780079</v>
      </c>
    </row>
    <row r="99" spans="1:27">
      <c r="A99">
        <v>2011</v>
      </c>
      <c r="B99" s="13" t="s">
        <v>44</v>
      </c>
      <c r="C99" s="13" t="s">
        <v>42</v>
      </c>
      <c r="D99" s="12">
        <v>3.52</v>
      </c>
      <c r="E99" s="17">
        <f t="shared" si="3"/>
        <v>3520</v>
      </c>
      <c r="F99" s="12">
        <v>255.6</v>
      </c>
      <c r="G99" s="7">
        <v>11.3</v>
      </c>
      <c r="H99" s="7">
        <v>31.8</v>
      </c>
      <c r="I99" s="12">
        <v>69.099999999999994</v>
      </c>
      <c r="J99" s="13" t="s">
        <v>29</v>
      </c>
      <c r="K99" s="13" t="s">
        <v>36</v>
      </c>
      <c r="L99">
        <v>6</v>
      </c>
      <c r="M99">
        <v>822</v>
      </c>
      <c r="N99" s="15">
        <f>O99/100</f>
        <v>0.505</v>
      </c>
      <c r="O99" s="14">
        <v>50.5</v>
      </c>
      <c r="P99">
        <v>30.4</v>
      </c>
      <c r="Q99">
        <v>0.12</v>
      </c>
      <c r="R99">
        <v>0.16</v>
      </c>
      <c r="S99">
        <v>0</v>
      </c>
      <c r="T99" s="15">
        <f t="shared" si="4"/>
        <v>8.5000000000000006E-2</v>
      </c>
      <c r="U99">
        <v>8.5</v>
      </c>
      <c r="V99">
        <v>23</v>
      </c>
      <c r="W99" s="12">
        <v>1.5</v>
      </c>
      <c r="X99" s="6">
        <v>329</v>
      </c>
      <c r="Y99" s="11">
        <f>VLOOKUP(B99,calculo!$C$5:$D$29,2,FALSE)</f>
        <v>9.0705729637499788E-2</v>
      </c>
      <c r="Z99" s="11">
        <f>VLOOKUP(B99,calculo!$C$5:$E$29,3,FALSE)</f>
        <v>0.104604667160068</v>
      </c>
      <c r="AA99" s="12">
        <f t="shared" si="5"/>
        <v>311.50442477876106</v>
      </c>
    </row>
    <row r="100" spans="1:27">
      <c r="A100">
        <v>2012</v>
      </c>
      <c r="B100" s="13" t="s">
        <v>44</v>
      </c>
      <c r="C100" s="13" t="s">
        <v>42</v>
      </c>
      <c r="D100" s="12">
        <v>3.84</v>
      </c>
      <c r="E100" s="17">
        <f t="shared" si="3"/>
        <v>3840</v>
      </c>
      <c r="F100" s="12">
        <v>469.5</v>
      </c>
      <c r="G100" s="7">
        <v>40.1</v>
      </c>
      <c r="H100" s="7">
        <v>120.9</v>
      </c>
      <c r="I100" s="12">
        <v>144.30000000000001</v>
      </c>
      <c r="J100" s="13" t="s">
        <v>34</v>
      </c>
      <c r="K100" s="13" t="s">
        <v>36</v>
      </c>
      <c r="L100">
        <v>45</v>
      </c>
      <c r="M100">
        <v>8325</v>
      </c>
      <c r="N100" s="15">
        <f>O100/100</f>
        <v>0.60899999999999999</v>
      </c>
      <c r="O100" s="14">
        <v>60.9</v>
      </c>
      <c r="P100">
        <v>99</v>
      </c>
      <c r="Q100">
        <v>0.12</v>
      </c>
      <c r="R100">
        <v>0.22</v>
      </c>
      <c r="S100">
        <v>0</v>
      </c>
      <c r="T100" s="15">
        <f t="shared" si="4"/>
        <v>0.13200000000000001</v>
      </c>
      <c r="U100">
        <v>13.2</v>
      </c>
      <c r="V100">
        <v>26</v>
      </c>
      <c r="W100" s="12">
        <v>14.9</v>
      </c>
      <c r="X100" s="6">
        <v>169</v>
      </c>
      <c r="Y100" s="11">
        <f>VLOOKUP(B100,calculo!$C$5:$D$29,2,FALSE)</f>
        <v>9.0705729637499788E-2</v>
      </c>
      <c r="Z100" s="11">
        <f>VLOOKUP(B100,calculo!$C$5:$E$29,3,FALSE)</f>
        <v>0.104604667160068</v>
      </c>
      <c r="AA100" s="12">
        <f t="shared" si="5"/>
        <v>95.760598503740638</v>
      </c>
    </row>
    <row r="101" spans="1:27">
      <c r="A101">
        <v>2013</v>
      </c>
      <c r="B101" s="13" t="s">
        <v>44</v>
      </c>
      <c r="C101" s="13" t="s">
        <v>42</v>
      </c>
      <c r="D101" s="12">
        <v>4.1900000000000004</v>
      </c>
      <c r="E101" s="17">
        <f t="shared" si="3"/>
        <v>4190</v>
      </c>
      <c r="F101" s="12">
        <v>297.7</v>
      </c>
      <c r="G101" s="7">
        <v>22.1</v>
      </c>
      <c r="H101" s="7">
        <v>67.3</v>
      </c>
      <c r="I101" s="12">
        <v>142.9</v>
      </c>
      <c r="J101" s="13" t="s">
        <v>35</v>
      </c>
      <c r="K101" s="13" t="s">
        <v>36</v>
      </c>
      <c r="L101">
        <v>101</v>
      </c>
      <c r="M101">
        <v>5151</v>
      </c>
      <c r="N101" s="15">
        <f>O101/100</f>
        <v>0.53700000000000003</v>
      </c>
      <c r="O101" s="14">
        <v>53.7</v>
      </c>
      <c r="P101">
        <v>86.8</v>
      </c>
      <c r="Q101">
        <v>0.1</v>
      </c>
      <c r="R101">
        <v>0.28000000000000003</v>
      </c>
      <c r="S101">
        <v>0</v>
      </c>
      <c r="T101" s="15">
        <f t="shared" si="4"/>
        <v>0.14199999999999999</v>
      </c>
      <c r="U101">
        <v>14.2</v>
      </c>
      <c r="V101">
        <v>29</v>
      </c>
      <c r="W101" s="12">
        <v>28.6</v>
      </c>
      <c r="X101" s="6">
        <v>163</v>
      </c>
      <c r="Y101" s="11">
        <f>VLOOKUP(B101,calculo!$C$5:$D$29,2,FALSE)</f>
        <v>9.0705729637499788E-2</v>
      </c>
      <c r="Z101" s="11">
        <f>VLOOKUP(B101,calculo!$C$5:$E$29,3,FALSE)</f>
        <v>0.104604667160068</v>
      </c>
      <c r="AA101" s="12">
        <f t="shared" si="5"/>
        <v>189.59276018099547</v>
      </c>
    </row>
    <row r="102" spans="1:27">
      <c r="A102">
        <v>2014</v>
      </c>
      <c r="B102" s="13" t="s">
        <v>44</v>
      </c>
      <c r="C102" s="13" t="s">
        <v>42</v>
      </c>
      <c r="D102" s="12">
        <v>4.57</v>
      </c>
      <c r="E102" s="17">
        <f t="shared" si="3"/>
        <v>4570</v>
      </c>
      <c r="F102" s="12">
        <v>488</v>
      </c>
      <c r="G102" s="7">
        <v>42</v>
      </c>
      <c r="H102" s="7">
        <v>130.19999999999999</v>
      </c>
      <c r="I102" s="12">
        <v>54</v>
      </c>
      <c r="J102" s="13" t="s">
        <v>29</v>
      </c>
      <c r="K102" s="13" t="s">
        <v>32</v>
      </c>
      <c r="L102">
        <v>48</v>
      </c>
      <c r="M102">
        <v>4704</v>
      </c>
      <c r="N102" s="15">
        <f>O102/100</f>
        <v>0.90300000000000002</v>
      </c>
      <c r="O102" s="14">
        <v>90.3</v>
      </c>
      <c r="P102">
        <v>69.599999999999994</v>
      </c>
      <c r="Q102">
        <v>0.05</v>
      </c>
      <c r="R102">
        <v>0.34</v>
      </c>
      <c r="S102">
        <v>0</v>
      </c>
      <c r="T102" s="15">
        <f t="shared" si="4"/>
        <v>0.161</v>
      </c>
      <c r="U102">
        <v>16.100000000000001</v>
      </c>
      <c r="V102">
        <v>32</v>
      </c>
      <c r="W102" s="12">
        <v>18.600000000000001</v>
      </c>
      <c r="X102" s="6">
        <v>82</v>
      </c>
      <c r="Y102" s="11">
        <f>VLOOKUP(B102,calculo!$C$5:$D$29,2,FALSE)</f>
        <v>9.0705729637499788E-2</v>
      </c>
      <c r="Z102" s="11">
        <f>VLOOKUP(B102,calculo!$C$5:$E$29,3,FALSE)</f>
        <v>0.104604667160068</v>
      </c>
      <c r="AA102" s="12">
        <f t="shared" si="5"/>
        <v>108.80952380952381</v>
      </c>
    </row>
    <row r="103" spans="1:27">
      <c r="A103">
        <v>2015</v>
      </c>
      <c r="B103" s="13" t="s">
        <v>44</v>
      </c>
      <c r="C103" s="13" t="s">
        <v>42</v>
      </c>
      <c r="D103" s="12">
        <v>4.99</v>
      </c>
      <c r="E103" s="17">
        <f t="shared" si="3"/>
        <v>4990</v>
      </c>
      <c r="F103" s="12">
        <v>602.79999999999995</v>
      </c>
      <c r="G103" s="7">
        <v>52.5</v>
      </c>
      <c r="H103" s="7">
        <v>153.80000000000001</v>
      </c>
      <c r="I103" s="12">
        <v>126.2</v>
      </c>
      <c r="J103" s="13" t="s">
        <v>34</v>
      </c>
      <c r="K103" s="13" t="s">
        <v>30</v>
      </c>
      <c r="L103">
        <v>66</v>
      </c>
      <c r="M103">
        <v>10560</v>
      </c>
      <c r="N103" s="15">
        <f>O103/100</f>
        <v>0.86799999999999999</v>
      </c>
      <c r="O103" s="14">
        <v>86.8</v>
      </c>
      <c r="P103">
        <v>58.9</v>
      </c>
      <c r="Q103">
        <v>0.1</v>
      </c>
      <c r="R103">
        <v>0.4</v>
      </c>
      <c r="S103">
        <v>0</v>
      </c>
      <c r="T103" s="15">
        <f t="shared" si="4"/>
        <v>0.17</v>
      </c>
      <c r="U103">
        <v>17</v>
      </c>
      <c r="V103">
        <v>35</v>
      </c>
      <c r="W103" s="12">
        <v>23.3</v>
      </c>
      <c r="X103" s="6">
        <v>12</v>
      </c>
      <c r="Y103" s="11">
        <f>VLOOKUP(B103,calculo!$C$5:$D$29,2,FALSE)</f>
        <v>9.0705729637499788E-2</v>
      </c>
      <c r="Z103" s="11">
        <f>VLOOKUP(B103,calculo!$C$5:$E$29,3,FALSE)</f>
        <v>0.104604667160068</v>
      </c>
      <c r="AA103" s="12">
        <f t="shared" si="5"/>
        <v>95.047619047619051</v>
      </c>
    </row>
    <row r="104" spans="1:27">
      <c r="A104">
        <v>2016</v>
      </c>
      <c r="B104" s="13" t="s">
        <v>44</v>
      </c>
      <c r="C104" s="13" t="s">
        <v>42</v>
      </c>
      <c r="D104" s="12">
        <v>5.44</v>
      </c>
      <c r="E104" s="17">
        <f t="shared" si="3"/>
        <v>5440</v>
      </c>
      <c r="F104" s="12">
        <v>594.5</v>
      </c>
      <c r="G104" s="7">
        <v>39.700000000000003</v>
      </c>
      <c r="H104" s="7">
        <v>97.6</v>
      </c>
      <c r="I104" s="12">
        <v>103.9</v>
      </c>
      <c r="J104" s="13" t="s">
        <v>29</v>
      </c>
      <c r="K104" s="13" t="s">
        <v>36</v>
      </c>
      <c r="L104">
        <v>23</v>
      </c>
      <c r="M104">
        <v>2392</v>
      </c>
      <c r="N104" s="15">
        <f>O104/100</f>
        <v>0.85499999999999998</v>
      </c>
      <c r="O104" s="14">
        <v>85.5</v>
      </c>
      <c r="P104">
        <v>74.400000000000006</v>
      </c>
      <c r="Q104">
        <v>0.26</v>
      </c>
      <c r="R104">
        <v>0.46</v>
      </c>
      <c r="S104">
        <v>0</v>
      </c>
      <c r="T104" s="15">
        <f t="shared" si="4"/>
        <v>0.191</v>
      </c>
      <c r="U104">
        <v>19.100000000000001</v>
      </c>
      <c r="V104">
        <v>38</v>
      </c>
      <c r="W104" s="12">
        <v>6.2</v>
      </c>
      <c r="X104" s="6">
        <v>316</v>
      </c>
      <c r="Y104" s="11">
        <f>VLOOKUP(B104,calculo!$C$5:$D$29,2,FALSE)</f>
        <v>9.0705729637499788E-2</v>
      </c>
      <c r="Z104" s="11">
        <f>VLOOKUP(B104,calculo!$C$5:$E$29,3,FALSE)</f>
        <v>0.104604667160068</v>
      </c>
      <c r="AA104" s="12">
        <f t="shared" si="5"/>
        <v>137.02770780856423</v>
      </c>
    </row>
    <row r="105" spans="1:27">
      <c r="A105">
        <v>2017</v>
      </c>
      <c r="B105" s="13" t="s">
        <v>44</v>
      </c>
      <c r="C105" s="13" t="s">
        <v>42</v>
      </c>
      <c r="D105" s="12">
        <v>5.93</v>
      </c>
      <c r="E105" s="17">
        <f t="shared" si="3"/>
        <v>5930</v>
      </c>
      <c r="F105" s="12">
        <v>618.4</v>
      </c>
      <c r="G105" s="7">
        <v>30.6</v>
      </c>
      <c r="H105" s="7">
        <v>50.9</v>
      </c>
      <c r="I105" s="12">
        <v>78.400000000000006</v>
      </c>
      <c r="J105" s="13" t="s">
        <v>35</v>
      </c>
      <c r="K105" s="13" t="s">
        <v>32</v>
      </c>
      <c r="L105">
        <v>65</v>
      </c>
      <c r="M105">
        <v>9230</v>
      </c>
      <c r="N105" s="15">
        <f>O105/100</f>
        <v>0.70799999999999996</v>
      </c>
      <c r="O105" s="14">
        <v>70.8</v>
      </c>
      <c r="P105">
        <v>90.1</v>
      </c>
      <c r="Q105">
        <v>0.19</v>
      </c>
      <c r="R105">
        <v>0.52</v>
      </c>
      <c r="S105">
        <v>0</v>
      </c>
      <c r="T105" s="15">
        <f t="shared" si="4"/>
        <v>0.24100000000000002</v>
      </c>
      <c r="U105">
        <v>24.1</v>
      </c>
      <c r="V105">
        <v>41</v>
      </c>
      <c r="W105" s="12">
        <v>16.5</v>
      </c>
      <c r="X105" s="6">
        <v>168</v>
      </c>
      <c r="Y105" s="11">
        <f>VLOOKUP(B105,calculo!$C$5:$D$29,2,FALSE)</f>
        <v>9.0705729637499788E-2</v>
      </c>
      <c r="Z105" s="11">
        <f>VLOOKUP(B105,calculo!$C$5:$E$29,3,FALSE)</f>
        <v>0.104604667160068</v>
      </c>
      <c r="AA105" s="12">
        <f t="shared" si="5"/>
        <v>193.79084967320262</v>
      </c>
    </row>
    <row r="106" spans="1:27">
      <c r="A106">
        <v>2018</v>
      </c>
      <c r="B106" s="13" t="s">
        <v>44</v>
      </c>
      <c r="C106" s="13" t="s">
        <v>42</v>
      </c>
      <c r="D106" s="12">
        <v>6.47</v>
      </c>
      <c r="E106" s="17">
        <f t="shared" si="3"/>
        <v>6470</v>
      </c>
      <c r="F106" s="12">
        <v>730.3</v>
      </c>
      <c r="G106" s="7">
        <v>44.7</v>
      </c>
      <c r="H106" s="7">
        <v>135.5</v>
      </c>
      <c r="I106" s="12">
        <v>90.6</v>
      </c>
      <c r="J106" s="13" t="s">
        <v>35</v>
      </c>
      <c r="K106" s="13" t="s">
        <v>30</v>
      </c>
      <c r="L106">
        <v>54</v>
      </c>
      <c r="M106">
        <v>12204</v>
      </c>
      <c r="N106" s="15">
        <f>O106/100</f>
        <v>0.82599999999999996</v>
      </c>
      <c r="O106" s="14">
        <v>82.6</v>
      </c>
      <c r="P106">
        <v>61.5</v>
      </c>
      <c r="Q106">
        <v>0.4</v>
      </c>
      <c r="R106">
        <v>0.57999999999999996</v>
      </c>
      <c r="S106">
        <v>0</v>
      </c>
      <c r="T106" s="15">
        <f t="shared" si="4"/>
        <v>0.22800000000000001</v>
      </c>
      <c r="U106">
        <v>22.8</v>
      </c>
      <c r="V106">
        <v>44</v>
      </c>
      <c r="W106" s="12">
        <v>15</v>
      </c>
      <c r="X106" s="6">
        <v>75</v>
      </c>
      <c r="Y106" s="11">
        <f>VLOOKUP(B106,calculo!$C$5:$D$29,2,FALSE)</f>
        <v>9.0705729637499788E-2</v>
      </c>
      <c r="Z106" s="11">
        <f>VLOOKUP(B106,calculo!$C$5:$E$29,3,FALSE)</f>
        <v>0.104604667160068</v>
      </c>
      <c r="AA106" s="12">
        <f t="shared" si="5"/>
        <v>144.74272930648769</v>
      </c>
    </row>
    <row r="107" spans="1:27">
      <c r="A107">
        <v>2019</v>
      </c>
      <c r="B107" s="13" t="s">
        <v>44</v>
      </c>
      <c r="C107" s="13" t="s">
        <v>42</v>
      </c>
      <c r="D107" s="12">
        <v>7.06</v>
      </c>
      <c r="E107" s="17">
        <f t="shared" si="3"/>
        <v>7060</v>
      </c>
      <c r="F107" s="12">
        <v>815.1</v>
      </c>
      <c r="G107" s="7">
        <v>59.5</v>
      </c>
      <c r="H107" s="7">
        <v>123.1</v>
      </c>
      <c r="I107" s="12">
        <v>73.099999999999994</v>
      </c>
      <c r="J107" s="13" t="s">
        <v>29</v>
      </c>
      <c r="K107" s="13" t="s">
        <v>32</v>
      </c>
      <c r="L107">
        <v>7</v>
      </c>
      <c r="M107">
        <v>2002</v>
      </c>
      <c r="N107" s="15">
        <f>O107/100</f>
        <v>0.60599999999999998</v>
      </c>
      <c r="O107" s="14">
        <v>60.6</v>
      </c>
      <c r="P107">
        <v>83.2</v>
      </c>
      <c r="Q107">
        <v>0.49</v>
      </c>
      <c r="R107">
        <v>0.64</v>
      </c>
      <c r="S107">
        <v>0</v>
      </c>
      <c r="T107" s="15">
        <f t="shared" si="4"/>
        <v>0.25900000000000001</v>
      </c>
      <c r="U107">
        <v>25.9</v>
      </c>
      <c r="V107">
        <v>47</v>
      </c>
      <c r="W107" s="12">
        <v>1.9</v>
      </c>
      <c r="X107" s="6">
        <v>109</v>
      </c>
      <c r="Y107" s="11">
        <f>VLOOKUP(B107,calculo!$C$5:$D$29,2,FALSE)</f>
        <v>9.0705729637499788E-2</v>
      </c>
      <c r="Z107" s="11">
        <f>VLOOKUP(B107,calculo!$C$5:$E$29,3,FALSE)</f>
        <v>0.104604667160068</v>
      </c>
      <c r="AA107" s="12">
        <f t="shared" si="5"/>
        <v>118.65546218487395</v>
      </c>
    </row>
    <row r="108" spans="1:27">
      <c r="A108">
        <v>2020</v>
      </c>
      <c r="B108" s="13" t="s">
        <v>44</v>
      </c>
      <c r="C108" s="13" t="s">
        <v>42</v>
      </c>
      <c r="D108" s="12">
        <v>7.7</v>
      </c>
      <c r="E108" s="17">
        <f t="shared" si="3"/>
        <v>7700</v>
      </c>
      <c r="F108" s="12">
        <v>1132.5999999999999</v>
      </c>
      <c r="G108" s="7">
        <v>12.5</v>
      </c>
      <c r="H108" s="7">
        <v>40.1</v>
      </c>
      <c r="I108" s="12">
        <v>89.1</v>
      </c>
      <c r="J108" s="13" t="s">
        <v>35</v>
      </c>
      <c r="K108" s="13" t="s">
        <v>30</v>
      </c>
      <c r="L108">
        <v>66</v>
      </c>
      <c r="M108">
        <v>19470</v>
      </c>
      <c r="N108" s="15">
        <f>O108/100</f>
        <v>0.54299999999999993</v>
      </c>
      <c r="O108" s="14">
        <v>54.3</v>
      </c>
      <c r="P108">
        <v>73.900000000000006</v>
      </c>
      <c r="Q108">
        <v>0.47</v>
      </c>
      <c r="R108">
        <v>1.26</v>
      </c>
      <c r="S108">
        <v>0.56000000000000005</v>
      </c>
      <c r="T108" s="15">
        <f t="shared" si="4"/>
        <v>0.253</v>
      </c>
      <c r="U108">
        <v>25.3</v>
      </c>
      <c r="V108">
        <v>50</v>
      </c>
      <c r="W108" s="12">
        <v>24.3</v>
      </c>
      <c r="X108" s="6">
        <v>354</v>
      </c>
      <c r="Y108" s="11">
        <f>VLOOKUP(B108,calculo!$C$5:$D$29,2,FALSE)</f>
        <v>9.0705729637499788E-2</v>
      </c>
      <c r="Z108" s="11">
        <f>VLOOKUP(B108,calculo!$C$5:$E$29,3,FALSE)</f>
        <v>0.104604667160068</v>
      </c>
      <c r="AA108" s="12">
        <f t="shared" si="5"/>
        <v>616</v>
      </c>
    </row>
    <row r="109" spans="1:27">
      <c r="A109">
        <v>2021</v>
      </c>
      <c r="B109" s="13" t="s">
        <v>44</v>
      </c>
      <c r="C109" s="13" t="s">
        <v>42</v>
      </c>
      <c r="D109" s="12">
        <v>8.4</v>
      </c>
      <c r="E109" s="17">
        <f t="shared" si="3"/>
        <v>8400</v>
      </c>
      <c r="F109" s="12">
        <v>692.8</v>
      </c>
      <c r="G109" s="7">
        <v>46.9</v>
      </c>
      <c r="H109" s="7">
        <v>82.6</v>
      </c>
      <c r="I109" s="12">
        <v>146.4</v>
      </c>
      <c r="J109" s="13" t="s">
        <v>34</v>
      </c>
      <c r="K109" s="13" t="s">
        <v>30</v>
      </c>
      <c r="L109">
        <v>51</v>
      </c>
      <c r="M109">
        <v>4080</v>
      </c>
      <c r="N109" s="15">
        <f>O109/100</f>
        <v>0.57600000000000007</v>
      </c>
      <c r="O109" s="14">
        <v>57.6</v>
      </c>
      <c r="P109">
        <v>64</v>
      </c>
      <c r="Q109">
        <v>0.62</v>
      </c>
      <c r="R109">
        <v>1.35</v>
      </c>
      <c r="S109">
        <v>0.59</v>
      </c>
      <c r="T109" s="15">
        <f t="shared" si="4"/>
        <v>0.25800000000000001</v>
      </c>
      <c r="U109">
        <v>25.8</v>
      </c>
      <c r="V109">
        <v>53</v>
      </c>
      <c r="W109" s="12">
        <v>10.7</v>
      </c>
      <c r="X109" s="6">
        <v>275</v>
      </c>
      <c r="Y109" s="11">
        <f>VLOOKUP(B109,calculo!$C$5:$D$29,2,FALSE)</f>
        <v>9.0705729637499788E-2</v>
      </c>
      <c r="Z109" s="11">
        <f>VLOOKUP(B109,calculo!$C$5:$E$29,3,FALSE)</f>
        <v>0.104604667160068</v>
      </c>
      <c r="AA109" s="12">
        <f t="shared" si="5"/>
        <v>179.1044776119403</v>
      </c>
    </row>
    <row r="110" spans="1:27">
      <c r="A110">
        <v>2022</v>
      </c>
      <c r="B110" s="13" t="s">
        <v>44</v>
      </c>
      <c r="C110" s="13" t="s">
        <v>42</v>
      </c>
      <c r="D110" s="12">
        <v>9.16</v>
      </c>
      <c r="E110" s="17">
        <f t="shared" si="3"/>
        <v>9160</v>
      </c>
      <c r="F110" s="12">
        <v>869.5</v>
      </c>
      <c r="G110" s="7">
        <v>36.1</v>
      </c>
      <c r="H110" s="7">
        <v>122.6</v>
      </c>
      <c r="I110" s="12">
        <v>60.3</v>
      </c>
      <c r="J110" s="13" t="s">
        <v>29</v>
      </c>
      <c r="K110" s="13" t="s">
        <v>32</v>
      </c>
      <c r="L110">
        <v>88</v>
      </c>
      <c r="M110">
        <v>6776</v>
      </c>
      <c r="N110" s="15">
        <f>O110/100</f>
        <v>0.79900000000000004</v>
      </c>
      <c r="O110" s="14">
        <v>79.900000000000006</v>
      </c>
      <c r="P110">
        <v>60.6</v>
      </c>
      <c r="Q110">
        <v>0.62</v>
      </c>
      <c r="R110">
        <v>0.82</v>
      </c>
      <c r="S110">
        <v>0</v>
      </c>
      <c r="T110" s="15">
        <f t="shared" si="4"/>
        <v>0.308</v>
      </c>
      <c r="U110">
        <v>30.8</v>
      </c>
      <c r="V110">
        <v>56</v>
      </c>
      <c r="W110" s="12">
        <v>14</v>
      </c>
      <c r="X110" s="6">
        <v>129</v>
      </c>
      <c r="Y110" s="11">
        <f>VLOOKUP(B110,calculo!$C$5:$D$29,2,FALSE)</f>
        <v>9.0705729637499788E-2</v>
      </c>
      <c r="Z110" s="11">
        <f>VLOOKUP(B110,calculo!$C$5:$E$29,3,FALSE)</f>
        <v>0.104604667160068</v>
      </c>
      <c r="AA110" s="12">
        <f t="shared" si="5"/>
        <v>253.73961218836564</v>
      </c>
    </row>
    <row r="111" spans="1:27">
      <c r="A111">
        <v>2023</v>
      </c>
      <c r="B111" s="13" t="s">
        <v>44</v>
      </c>
      <c r="C111" s="13" t="s">
        <v>42</v>
      </c>
      <c r="D111" s="12">
        <v>9.99</v>
      </c>
      <c r="E111" s="17">
        <f t="shared" si="3"/>
        <v>9990</v>
      </c>
      <c r="F111" s="12">
        <v>1366.7</v>
      </c>
      <c r="G111" s="7">
        <v>13.9</v>
      </c>
      <c r="H111" s="7">
        <v>24</v>
      </c>
      <c r="I111" s="12">
        <v>62.4</v>
      </c>
      <c r="J111" s="13" t="s">
        <v>31</v>
      </c>
      <c r="K111" s="13" t="s">
        <v>30</v>
      </c>
      <c r="L111">
        <v>6</v>
      </c>
      <c r="M111">
        <v>1500</v>
      </c>
      <c r="N111" s="15">
        <f>O111/100</f>
        <v>0.51800000000000002</v>
      </c>
      <c r="O111" s="14">
        <v>51.8</v>
      </c>
      <c r="P111">
        <v>34.200000000000003</v>
      </c>
      <c r="Q111">
        <v>0.76</v>
      </c>
      <c r="R111">
        <v>0.88</v>
      </c>
      <c r="S111">
        <v>0</v>
      </c>
      <c r="T111" s="15">
        <f t="shared" si="4"/>
        <v>0.34299999999999997</v>
      </c>
      <c r="U111">
        <v>34.299999999999997</v>
      </c>
      <c r="V111">
        <v>59</v>
      </c>
      <c r="W111" s="12">
        <v>1.7</v>
      </c>
      <c r="X111" s="6">
        <v>207</v>
      </c>
      <c r="Y111" s="11">
        <f>VLOOKUP(B111,calculo!$C$5:$D$29,2,FALSE)</f>
        <v>9.0705729637499788E-2</v>
      </c>
      <c r="Z111" s="11">
        <f>VLOOKUP(B111,calculo!$C$5:$E$29,3,FALSE)</f>
        <v>0.104604667160068</v>
      </c>
      <c r="AA111" s="12">
        <f t="shared" si="5"/>
        <v>718.70503597122297</v>
      </c>
    </row>
    <row r="112" spans="1:27">
      <c r="A112">
        <v>2024</v>
      </c>
      <c r="B112" s="13" t="s">
        <v>44</v>
      </c>
      <c r="C112" s="13" t="s">
        <v>42</v>
      </c>
      <c r="D112" s="12">
        <v>10.89</v>
      </c>
      <c r="E112" s="17">
        <f t="shared" si="3"/>
        <v>10890</v>
      </c>
      <c r="F112" s="12">
        <v>1294.5</v>
      </c>
      <c r="G112" s="7">
        <v>25</v>
      </c>
      <c r="H112" s="7">
        <v>61.6</v>
      </c>
      <c r="I112" s="12">
        <v>112.3</v>
      </c>
      <c r="J112" s="13" t="s">
        <v>35</v>
      </c>
      <c r="K112" s="13" t="s">
        <v>32</v>
      </c>
      <c r="L112">
        <v>102</v>
      </c>
      <c r="M112">
        <v>27132</v>
      </c>
      <c r="N112" s="15">
        <f>O112/100</f>
        <v>0.70499999999999996</v>
      </c>
      <c r="O112" s="14">
        <v>70.5</v>
      </c>
      <c r="P112">
        <v>63.7</v>
      </c>
      <c r="Q112">
        <v>0.83</v>
      </c>
      <c r="R112">
        <v>0.94</v>
      </c>
      <c r="S112">
        <v>0</v>
      </c>
      <c r="T112" s="15">
        <f t="shared" si="4"/>
        <v>0.315</v>
      </c>
      <c r="U112">
        <v>31.5</v>
      </c>
      <c r="V112">
        <v>62</v>
      </c>
      <c r="W112" s="12">
        <v>31.6</v>
      </c>
      <c r="X112" s="6">
        <v>187</v>
      </c>
      <c r="Y112" s="11">
        <f>VLOOKUP(B112,calculo!$C$5:$D$29,2,FALSE)</f>
        <v>9.0705729637499788E-2</v>
      </c>
      <c r="Z112" s="11">
        <f>VLOOKUP(B112,calculo!$C$5:$E$29,3,FALSE)</f>
        <v>0.104604667160068</v>
      </c>
      <c r="AA112" s="12">
        <f t="shared" si="5"/>
        <v>435.6</v>
      </c>
    </row>
    <row r="113" spans="1:27">
      <c r="A113">
        <v>2025</v>
      </c>
      <c r="B113" s="13" t="s">
        <v>44</v>
      </c>
      <c r="C113" s="13" t="s">
        <v>42</v>
      </c>
      <c r="D113" s="12">
        <v>11.88</v>
      </c>
      <c r="E113" s="17">
        <f t="shared" si="3"/>
        <v>11880</v>
      </c>
      <c r="F113" s="12">
        <v>743.6</v>
      </c>
      <c r="G113" s="7">
        <v>9.6999999999999993</v>
      </c>
      <c r="H113" s="7">
        <v>17.3</v>
      </c>
      <c r="I113" s="12">
        <v>142.80000000000001</v>
      </c>
      <c r="J113" s="13" t="s">
        <v>29</v>
      </c>
      <c r="K113" s="13" t="s">
        <v>30</v>
      </c>
      <c r="L113">
        <v>12</v>
      </c>
      <c r="M113">
        <v>3492</v>
      </c>
      <c r="N113" s="15">
        <f>O113/100</f>
        <v>0.8909999999999999</v>
      </c>
      <c r="O113" s="14">
        <v>89.1</v>
      </c>
      <c r="P113">
        <v>38.299999999999997</v>
      </c>
      <c r="Q113">
        <v>0.92</v>
      </c>
      <c r="R113">
        <v>1</v>
      </c>
      <c r="S113">
        <v>0</v>
      </c>
      <c r="T113" s="15">
        <f t="shared" si="4"/>
        <v>0.308</v>
      </c>
      <c r="U113">
        <v>30.8</v>
      </c>
      <c r="V113">
        <v>65</v>
      </c>
      <c r="W113" s="12">
        <v>2.4</v>
      </c>
      <c r="X113" s="6">
        <v>299</v>
      </c>
      <c r="Y113" s="11">
        <f>VLOOKUP(B113,calculo!$C$5:$D$29,2,FALSE)</f>
        <v>9.0705729637499788E-2</v>
      </c>
      <c r="Z113" s="11">
        <f>VLOOKUP(B113,calculo!$C$5:$E$29,3,FALSE)</f>
        <v>0.104604667160068</v>
      </c>
      <c r="AA113" s="12">
        <f t="shared" si="5"/>
        <v>1224.7422680412371</v>
      </c>
    </row>
    <row r="114" spans="1:27">
      <c r="A114">
        <v>2010</v>
      </c>
      <c r="B114" s="13" t="s">
        <v>45</v>
      </c>
      <c r="C114" s="13" t="s">
        <v>46</v>
      </c>
      <c r="D114" s="12">
        <v>10.26</v>
      </c>
      <c r="E114" s="17">
        <f t="shared" si="3"/>
        <v>10260</v>
      </c>
      <c r="F114" s="12">
        <v>763.7</v>
      </c>
      <c r="G114" s="7">
        <v>50.2</v>
      </c>
      <c r="H114" s="7">
        <v>162.1</v>
      </c>
      <c r="I114" s="12">
        <v>122.2</v>
      </c>
      <c r="J114" s="13" t="s">
        <v>31</v>
      </c>
      <c r="K114" s="13" t="s">
        <v>36</v>
      </c>
      <c r="L114">
        <v>95</v>
      </c>
      <c r="M114">
        <v>11495</v>
      </c>
      <c r="N114" s="15">
        <f>O114/100</f>
        <v>0.77</v>
      </c>
      <c r="O114" s="14">
        <v>77</v>
      </c>
      <c r="P114">
        <v>95.6</v>
      </c>
      <c r="Q114">
        <v>0.09</v>
      </c>
      <c r="R114">
        <v>0.1</v>
      </c>
      <c r="S114">
        <v>0</v>
      </c>
      <c r="T114" s="15">
        <f t="shared" si="4"/>
        <v>9.9000000000000005E-2</v>
      </c>
      <c r="U114">
        <v>9.9</v>
      </c>
      <c r="V114">
        <v>20</v>
      </c>
      <c r="W114" s="12">
        <v>33.1</v>
      </c>
      <c r="X114" s="6">
        <v>151</v>
      </c>
      <c r="Y114" s="11">
        <f>VLOOKUP(B114,calculo!$C$5:$D$29,2,FALSE)</f>
        <v>0.24574892539335313</v>
      </c>
      <c r="Z114" s="11">
        <f>VLOOKUP(B114,calculo!$C$5:$E$29,3,FALSE)</f>
        <v>0.28399470059511489</v>
      </c>
      <c r="AA114" s="12">
        <f t="shared" si="5"/>
        <v>204.38247011952191</v>
      </c>
    </row>
    <row r="115" spans="1:27">
      <c r="A115">
        <v>2011</v>
      </c>
      <c r="B115" s="13" t="s">
        <v>45</v>
      </c>
      <c r="C115" s="13" t="s">
        <v>46</v>
      </c>
      <c r="D115" s="12">
        <v>12.78</v>
      </c>
      <c r="E115" s="17">
        <f t="shared" si="3"/>
        <v>12780</v>
      </c>
      <c r="F115" s="12">
        <v>775.5</v>
      </c>
      <c r="G115" s="7">
        <v>40.200000000000003</v>
      </c>
      <c r="H115" s="7">
        <v>140.5</v>
      </c>
      <c r="I115" s="12">
        <v>35.799999999999997</v>
      </c>
      <c r="J115" s="13" t="s">
        <v>29</v>
      </c>
      <c r="K115" s="13" t="s">
        <v>36</v>
      </c>
      <c r="L115">
        <v>77</v>
      </c>
      <c r="M115">
        <v>16170</v>
      </c>
      <c r="N115" s="15">
        <f>O115/100</f>
        <v>0.54100000000000004</v>
      </c>
      <c r="O115" s="14">
        <v>54.1</v>
      </c>
      <c r="P115">
        <v>46.7</v>
      </c>
      <c r="Q115">
        <v>0.18</v>
      </c>
      <c r="R115">
        <v>0.16</v>
      </c>
      <c r="S115">
        <v>0</v>
      </c>
      <c r="T115" s="15">
        <f t="shared" si="4"/>
        <v>9.4E-2</v>
      </c>
      <c r="U115">
        <v>9.4</v>
      </c>
      <c r="V115">
        <v>23</v>
      </c>
      <c r="W115" s="12">
        <v>19.399999999999999</v>
      </c>
      <c r="X115" s="6">
        <v>468</v>
      </c>
      <c r="Y115" s="11">
        <f>VLOOKUP(B115,calculo!$C$5:$D$29,2,FALSE)</f>
        <v>0.24574892539335313</v>
      </c>
      <c r="Z115" s="11">
        <f>VLOOKUP(B115,calculo!$C$5:$E$29,3,FALSE)</f>
        <v>0.28399470059511489</v>
      </c>
      <c r="AA115" s="12">
        <f t="shared" si="5"/>
        <v>317.91044776119401</v>
      </c>
    </row>
    <row r="116" spans="1:27">
      <c r="A116">
        <v>2012</v>
      </c>
      <c r="B116" s="13" t="s">
        <v>45</v>
      </c>
      <c r="C116" s="13" t="s">
        <v>46</v>
      </c>
      <c r="D116" s="12">
        <v>15.93</v>
      </c>
      <c r="E116" s="17">
        <f t="shared" si="3"/>
        <v>15930</v>
      </c>
      <c r="F116" s="12">
        <v>1317.2</v>
      </c>
      <c r="G116" s="7">
        <v>40.700000000000003</v>
      </c>
      <c r="H116" s="7">
        <v>126.9</v>
      </c>
      <c r="I116" s="12">
        <v>121.5</v>
      </c>
      <c r="J116" s="13" t="s">
        <v>34</v>
      </c>
      <c r="K116" s="13" t="s">
        <v>36</v>
      </c>
      <c r="L116">
        <v>109</v>
      </c>
      <c r="M116">
        <v>7848</v>
      </c>
      <c r="N116" s="15">
        <f>O116/100</f>
        <v>0.55399999999999994</v>
      </c>
      <c r="O116" s="14">
        <v>55.4</v>
      </c>
      <c r="P116">
        <v>65.8</v>
      </c>
      <c r="Q116">
        <v>0.09</v>
      </c>
      <c r="R116">
        <v>0.22</v>
      </c>
      <c r="S116">
        <v>0</v>
      </c>
      <c r="T116" s="15">
        <f t="shared" si="4"/>
        <v>0.153</v>
      </c>
      <c r="U116">
        <v>15.3</v>
      </c>
      <c r="V116">
        <v>26</v>
      </c>
      <c r="W116" s="12">
        <v>28.2</v>
      </c>
      <c r="X116" s="6">
        <v>98</v>
      </c>
      <c r="Y116" s="11">
        <f>VLOOKUP(B116,calculo!$C$5:$D$29,2,FALSE)</f>
        <v>0.24574892539335313</v>
      </c>
      <c r="Z116" s="11">
        <f>VLOOKUP(B116,calculo!$C$5:$E$29,3,FALSE)</f>
        <v>0.28399470059511489</v>
      </c>
      <c r="AA116" s="12">
        <f t="shared" si="5"/>
        <v>391.40049140049138</v>
      </c>
    </row>
    <row r="117" spans="1:27">
      <c r="A117">
        <v>2013</v>
      </c>
      <c r="B117" s="13" t="s">
        <v>45</v>
      </c>
      <c r="C117" s="13" t="s">
        <v>46</v>
      </c>
      <c r="D117" s="12">
        <v>19.84</v>
      </c>
      <c r="E117" s="17">
        <f t="shared" si="3"/>
        <v>19840</v>
      </c>
      <c r="F117" s="12">
        <v>2201.9</v>
      </c>
      <c r="G117" s="7">
        <v>34.700000000000003</v>
      </c>
      <c r="H117" s="7">
        <v>78.400000000000006</v>
      </c>
      <c r="I117" s="12">
        <v>95.8</v>
      </c>
      <c r="J117" s="13" t="s">
        <v>34</v>
      </c>
      <c r="K117" s="13" t="s">
        <v>30</v>
      </c>
      <c r="L117">
        <v>37</v>
      </c>
      <c r="M117">
        <v>3626</v>
      </c>
      <c r="N117" s="15">
        <f>O117/100</f>
        <v>0.53299999999999992</v>
      </c>
      <c r="O117" s="14">
        <v>53.3</v>
      </c>
      <c r="P117">
        <v>70.3</v>
      </c>
      <c r="Q117">
        <v>0.16</v>
      </c>
      <c r="R117">
        <v>0.28000000000000003</v>
      </c>
      <c r="S117">
        <v>0</v>
      </c>
      <c r="T117" s="15">
        <f t="shared" si="4"/>
        <v>0.121</v>
      </c>
      <c r="U117">
        <v>12.1</v>
      </c>
      <c r="V117">
        <v>29</v>
      </c>
      <c r="W117" s="12">
        <v>10.6</v>
      </c>
      <c r="X117" s="6">
        <v>119</v>
      </c>
      <c r="Y117" s="11">
        <f>VLOOKUP(B117,calculo!$C$5:$D$29,2,FALSE)</f>
        <v>0.24574892539335313</v>
      </c>
      <c r="Z117" s="11">
        <f>VLOOKUP(B117,calculo!$C$5:$E$29,3,FALSE)</f>
        <v>0.28399470059511489</v>
      </c>
      <c r="AA117" s="12">
        <f t="shared" si="5"/>
        <v>571.75792507204608</v>
      </c>
    </row>
    <row r="118" spans="1:27">
      <c r="A118">
        <v>2014</v>
      </c>
      <c r="B118" s="13" t="s">
        <v>45</v>
      </c>
      <c r="C118" s="13" t="s">
        <v>46</v>
      </c>
      <c r="D118" s="12">
        <v>24.71</v>
      </c>
      <c r="E118" s="17">
        <f t="shared" si="3"/>
        <v>24710</v>
      </c>
      <c r="F118" s="12">
        <v>2472.6</v>
      </c>
      <c r="G118" s="7">
        <v>33.5</v>
      </c>
      <c r="H118" s="7">
        <v>113.9</v>
      </c>
      <c r="I118" s="12">
        <v>131.69999999999999</v>
      </c>
      <c r="J118" s="13" t="s">
        <v>35</v>
      </c>
      <c r="K118" s="13" t="s">
        <v>36</v>
      </c>
      <c r="L118">
        <v>32</v>
      </c>
      <c r="M118">
        <v>5312</v>
      </c>
      <c r="N118" s="15">
        <f>O118/100</f>
        <v>0.67900000000000005</v>
      </c>
      <c r="O118" s="14">
        <v>67.900000000000006</v>
      </c>
      <c r="P118">
        <v>68.5</v>
      </c>
      <c r="Q118">
        <v>0.16</v>
      </c>
      <c r="R118">
        <v>0.34</v>
      </c>
      <c r="S118">
        <v>0</v>
      </c>
      <c r="T118" s="15">
        <f t="shared" si="4"/>
        <v>0.18100000000000002</v>
      </c>
      <c r="U118">
        <v>18.100000000000001</v>
      </c>
      <c r="V118">
        <v>32</v>
      </c>
      <c r="W118" s="12">
        <v>11.3</v>
      </c>
      <c r="X118" s="6">
        <v>309</v>
      </c>
      <c r="Y118" s="11">
        <f>VLOOKUP(B118,calculo!$C$5:$D$29,2,FALSE)</f>
        <v>0.24574892539335313</v>
      </c>
      <c r="Z118" s="11">
        <f>VLOOKUP(B118,calculo!$C$5:$E$29,3,FALSE)</f>
        <v>0.28399470059511489</v>
      </c>
      <c r="AA118" s="12">
        <f t="shared" si="5"/>
        <v>737.61194029850742</v>
      </c>
    </row>
    <row r="119" spans="1:27">
      <c r="A119">
        <v>2015</v>
      </c>
      <c r="B119" s="13" t="s">
        <v>45</v>
      </c>
      <c r="C119" s="13" t="s">
        <v>46</v>
      </c>
      <c r="D119" s="12">
        <v>30.79</v>
      </c>
      <c r="E119" s="17">
        <f t="shared" si="3"/>
        <v>30790</v>
      </c>
      <c r="F119" s="12">
        <v>3230.9</v>
      </c>
      <c r="G119" s="7">
        <v>45.3</v>
      </c>
      <c r="H119" s="7">
        <v>132.80000000000001</v>
      </c>
      <c r="I119" s="12">
        <v>92.5</v>
      </c>
      <c r="J119" s="13" t="s">
        <v>29</v>
      </c>
      <c r="K119" s="13" t="s">
        <v>32</v>
      </c>
      <c r="L119">
        <v>25</v>
      </c>
      <c r="M119">
        <v>5000</v>
      </c>
      <c r="N119" s="15">
        <f>O119/100</f>
        <v>0.61</v>
      </c>
      <c r="O119" s="14">
        <v>61</v>
      </c>
      <c r="P119">
        <v>94.5</v>
      </c>
      <c r="Q119">
        <v>-0.02</v>
      </c>
      <c r="R119">
        <v>0.4</v>
      </c>
      <c r="S119">
        <v>0</v>
      </c>
      <c r="T119" s="15">
        <f t="shared" si="4"/>
        <v>0.17300000000000001</v>
      </c>
      <c r="U119">
        <v>17.3</v>
      </c>
      <c r="V119">
        <v>35</v>
      </c>
      <c r="W119" s="12">
        <v>6.4</v>
      </c>
      <c r="X119" s="6">
        <v>280</v>
      </c>
      <c r="Y119" s="11">
        <f>VLOOKUP(B119,calculo!$C$5:$D$29,2,FALSE)</f>
        <v>0.24574892539335313</v>
      </c>
      <c r="Z119" s="11">
        <f>VLOOKUP(B119,calculo!$C$5:$E$29,3,FALSE)</f>
        <v>0.28399470059511489</v>
      </c>
      <c r="AA119" s="12">
        <f t="shared" si="5"/>
        <v>679.69094922737315</v>
      </c>
    </row>
    <row r="120" spans="1:27">
      <c r="A120">
        <v>2016</v>
      </c>
      <c r="B120" s="13" t="s">
        <v>45</v>
      </c>
      <c r="C120" s="13" t="s">
        <v>46</v>
      </c>
      <c r="D120" s="12">
        <v>38.35</v>
      </c>
      <c r="E120" s="17">
        <f t="shared" si="3"/>
        <v>38350</v>
      </c>
      <c r="F120" s="12">
        <v>2663.9</v>
      </c>
      <c r="G120" s="7">
        <v>11.6</v>
      </c>
      <c r="H120" s="7">
        <v>31.9</v>
      </c>
      <c r="I120" s="12">
        <v>92.8</v>
      </c>
      <c r="J120" s="13" t="s">
        <v>31</v>
      </c>
      <c r="K120" s="13" t="s">
        <v>32</v>
      </c>
      <c r="L120">
        <v>114</v>
      </c>
      <c r="M120">
        <v>8664</v>
      </c>
      <c r="N120" s="15">
        <f>O120/100</f>
        <v>0.7609999999999999</v>
      </c>
      <c r="O120" s="14">
        <v>76.099999999999994</v>
      </c>
      <c r="P120">
        <v>31.7</v>
      </c>
      <c r="Q120">
        <v>0.18</v>
      </c>
      <c r="R120">
        <v>0.46</v>
      </c>
      <c r="S120">
        <v>0</v>
      </c>
      <c r="T120" s="15">
        <f t="shared" si="4"/>
        <v>0.17199999999999999</v>
      </c>
      <c r="U120">
        <v>17.2</v>
      </c>
      <c r="V120">
        <v>38</v>
      </c>
      <c r="W120" s="12">
        <v>43.6</v>
      </c>
      <c r="X120" s="6">
        <v>167</v>
      </c>
      <c r="Y120" s="11">
        <f>VLOOKUP(B120,calculo!$C$5:$D$29,2,FALSE)</f>
        <v>0.24574892539335313</v>
      </c>
      <c r="Z120" s="11">
        <f>VLOOKUP(B120,calculo!$C$5:$E$29,3,FALSE)</f>
        <v>0.28399470059511489</v>
      </c>
      <c r="AA120" s="12">
        <f t="shared" si="5"/>
        <v>3306.0344827586209</v>
      </c>
    </row>
    <row r="121" spans="1:27">
      <c r="A121">
        <v>2017</v>
      </c>
      <c r="B121" s="13" t="s">
        <v>45</v>
      </c>
      <c r="C121" s="13" t="s">
        <v>46</v>
      </c>
      <c r="D121" s="12">
        <v>47.78</v>
      </c>
      <c r="E121" s="17">
        <f t="shared" si="3"/>
        <v>47780</v>
      </c>
      <c r="F121" s="12">
        <v>4364.7</v>
      </c>
      <c r="G121" s="7">
        <v>9.1</v>
      </c>
      <c r="H121" s="7">
        <v>16.899999999999999</v>
      </c>
      <c r="I121" s="12">
        <v>111.7</v>
      </c>
      <c r="J121" s="13" t="s">
        <v>35</v>
      </c>
      <c r="K121" s="13" t="s">
        <v>30</v>
      </c>
      <c r="L121">
        <v>78</v>
      </c>
      <c r="M121">
        <v>6864</v>
      </c>
      <c r="N121" s="15">
        <f>O121/100</f>
        <v>0.58299999999999996</v>
      </c>
      <c r="O121" s="14">
        <v>58.3</v>
      </c>
      <c r="P121">
        <v>93.8</v>
      </c>
      <c r="Q121">
        <v>0.21</v>
      </c>
      <c r="R121">
        <v>0.52</v>
      </c>
      <c r="S121">
        <v>0</v>
      </c>
      <c r="T121" s="15">
        <f t="shared" si="4"/>
        <v>0.23499999999999999</v>
      </c>
      <c r="U121">
        <v>23.5</v>
      </c>
      <c r="V121">
        <v>41</v>
      </c>
      <c r="W121" s="12">
        <v>21.9</v>
      </c>
      <c r="X121" s="6">
        <v>93</v>
      </c>
      <c r="Y121" s="11">
        <f>VLOOKUP(B121,calculo!$C$5:$D$29,2,FALSE)</f>
        <v>0.24574892539335313</v>
      </c>
      <c r="Z121" s="11">
        <f>VLOOKUP(B121,calculo!$C$5:$E$29,3,FALSE)</f>
        <v>0.28399470059511489</v>
      </c>
      <c r="AA121" s="12">
        <f t="shared" si="5"/>
        <v>5250.5494505494507</v>
      </c>
    </row>
    <row r="122" spans="1:27">
      <c r="A122">
        <v>2018</v>
      </c>
      <c r="B122" s="13" t="s">
        <v>45</v>
      </c>
      <c r="C122" s="13" t="s">
        <v>46</v>
      </c>
      <c r="D122" s="12">
        <v>59.52</v>
      </c>
      <c r="E122" s="17">
        <f t="shared" si="3"/>
        <v>59520</v>
      </c>
      <c r="F122" s="12">
        <v>6250.7</v>
      </c>
      <c r="G122" s="7">
        <v>4.5</v>
      </c>
      <c r="H122" s="7">
        <v>12.5</v>
      </c>
      <c r="I122" s="12">
        <v>144.19999999999999</v>
      </c>
      <c r="J122" s="13" t="s">
        <v>31</v>
      </c>
      <c r="K122" s="13" t="s">
        <v>36</v>
      </c>
      <c r="L122">
        <v>26</v>
      </c>
      <c r="M122">
        <v>4342</v>
      </c>
      <c r="N122" s="15">
        <f>O122/100</f>
        <v>0.85699999999999998</v>
      </c>
      <c r="O122" s="14">
        <v>85.7</v>
      </c>
      <c r="P122">
        <v>73.5</v>
      </c>
      <c r="Q122">
        <v>0.41</v>
      </c>
      <c r="R122">
        <v>0.57999999999999996</v>
      </c>
      <c r="S122">
        <v>0</v>
      </c>
      <c r="T122" s="15">
        <f t="shared" si="4"/>
        <v>0.23199999999999998</v>
      </c>
      <c r="U122">
        <v>23.2</v>
      </c>
      <c r="V122">
        <v>44</v>
      </c>
      <c r="W122" s="12">
        <v>7.2</v>
      </c>
      <c r="X122" s="6">
        <v>481</v>
      </c>
      <c r="Y122" s="11">
        <f>VLOOKUP(B122,calculo!$C$5:$D$29,2,FALSE)</f>
        <v>0.24574892539335313</v>
      </c>
      <c r="Z122" s="11">
        <f>VLOOKUP(B122,calculo!$C$5:$E$29,3,FALSE)</f>
        <v>0.28399470059511489</v>
      </c>
      <c r="AA122" s="12">
        <f t="shared" si="5"/>
        <v>13226.666666666666</v>
      </c>
    </row>
    <row r="123" spans="1:27">
      <c r="A123">
        <v>2019</v>
      </c>
      <c r="B123" s="13" t="s">
        <v>45</v>
      </c>
      <c r="C123" s="13" t="s">
        <v>46</v>
      </c>
      <c r="D123" s="12">
        <v>74.14</v>
      </c>
      <c r="E123" s="17">
        <f t="shared" si="3"/>
        <v>74140</v>
      </c>
      <c r="F123" s="12">
        <v>10380.200000000001</v>
      </c>
      <c r="G123" s="7">
        <v>22.5</v>
      </c>
      <c r="H123" s="7">
        <v>44.4</v>
      </c>
      <c r="I123" s="12">
        <v>123.7</v>
      </c>
      <c r="J123" s="13" t="s">
        <v>31</v>
      </c>
      <c r="K123" s="13" t="s">
        <v>32</v>
      </c>
      <c r="L123">
        <v>54</v>
      </c>
      <c r="M123">
        <v>10854</v>
      </c>
      <c r="N123" s="15">
        <f>O123/100</f>
        <v>0.8</v>
      </c>
      <c r="O123" s="14">
        <v>80</v>
      </c>
      <c r="P123">
        <v>32.200000000000003</v>
      </c>
      <c r="Q123">
        <v>0.48</v>
      </c>
      <c r="R123">
        <v>0.64</v>
      </c>
      <c r="S123">
        <v>0</v>
      </c>
      <c r="T123" s="15">
        <f t="shared" si="4"/>
        <v>0.24399999999999999</v>
      </c>
      <c r="U123">
        <v>24.4</v>
      </c>
      <c r="V123">
        <v>47</v>
      </c>
      <c r="W123" s="12">
        <v>19.2</v>
      </c>
      <c r="X123" s="6">
        <v>173</v>
      </c>
      <c r="Y123" s="11">
        <f>VLOOKUP(B123,calculo!$C$5:$D$29,2,FALSE)</f>
        <v>0.24574892539335313</v>
      </c>
      <c r="Z123" s="11">
        <f>VLOOKUP(B123,calculo!$C$5:$E$29,3,FALSE)</f>
        <v>0.28399470059511489</v>
      </c>
      <c r="AA123" s="12">
        <f t="shared" si="5"/>
        <v>3295.1111111111113</v>
      </c>
    </row>
    <row r="124" spans="1:27">
      <c r="A124">
        <v>2020</v>
      </c>
      <c r="B124" s="13" t="s">
        <v>45</v>
      </c>
      <c r="C124" s="13" t="s">
        <v>46</v>
      </c>
      <c r="D124" s="12">
        <v>92.36</v>
      </c>
      <c r="E124" s="17">
        <f t="shared" si="3"/>
        <v>92360</v>
      </c>
      <c r="F124" s="12">
        <v>6790.8</v>
      </c>
      <c r="G124" s="7">
        <v>52.4</v>
      </c>
      <c r="H124" s="7">
        <v>128.19999999999999</v>
      </c>
      <c r="I124" s="12">
        <v>94.2</v>
      </c>
      <c r="J124" s="13" t="s">
        <v>34</v>
      </c>
      <c r="K124" s="13" t="s">
        <v>32</v>
      </c>
      <c r="L124">
        <v>26</v>
      </c>
      <c r="M124">
        <v>5850</v>
      </c>
      <c r="N124" s="15">
        <f>O124/100</f>
        <v>0.746</v>
      </c>
      <c r="O124" s="14">
        <v>74.599999999999994</v>
      </c>
      <c r="P124">
        <v>42.4</v>
      </c>
      <c r="Q124">
        <v>0.44</v>
      </c>
      <c r="R124">
        <v>0.96</v>
      </c>
      <c r="S124">
        <v>0.26</v>
      </c>
      <c r="T124" s="15">
        <f t="shared" si="4"/>
        <v>0.26200000000000001</v>
      </c>
      <c r="U124">
        <v>26.2</v>
      </c>
      <c r="V124">
        <v>50</v>
      </c>
      <c r="W124" s="12">
        <v>5.9</v>
      </c>
      <c r="X124" s="6">
        <v>87</v>
      </c>
      <c r="Y124" s="11">
        <f>VLOOKUP(B124,calculo!$C$5:$D$29,2,FALSE)</f>
        <v>0.24574892539335313</v>
      </c>
      <c r="Z124" s="11">
        <f>VLOOKUP(B124,calculo!$C$5:$E$29,3,FALSE)</f>
        <v>0.28399470059511489</v>
      </c>
      <c r="AA124" s="12">
        <f t="shared" si="5"/>
        <v>1762.5954198473282</v>
      </c>
    </row>
    <row r="125" spans="1:27">
      <c r="A125">
        <v>2021</v>
      </c>
      <c r="B125" s="13" t="s">
        <v>45</v>
      </c>
      <c r="C125" s="13" t="s">
        <v>46</v>
      </c>
      <c r="D125" s="12">
        <v>115.06</v>
      </c>
      <c r="E125" s="17">
        <f t="shared" si="3"/>
        <v>115060</v>
      </c>
      <c r="F125" s="12">
        <v>13529</v>
      </c>
      <c r="G125" s="7">
        <v>27.7</v>
      </c>
      <c r="H125" s="7">
        <v>66.2</v>
      </c>
      <c r="I125" s="12">
        <v>116.9</v>
      </c>
      <c r="J125" s="13" t="s">
        <v>34</v>
      </c>
      <c r="K125" s="13" t="s">
        <v>30</v>
      </c>
      <c r="L125">
        <v>79</v>
      </c>
      <c r="M125">
        <v>22120</v>
      </c>
      <c r="N125" s="15">
        <f>O125/100</f>
        <v>0.65200000000000002</v>
      </c>
      <c r="O125" s="14">
        <v>65.2</v>
      </c>
      <c r="P125">
        <v>92.9</v>
      </c>
      <c r="Q125">
        <v>0.61</v>
      </c>
      <c r="R125">
        <v>1.21</v>
      </c>
      <c r="S125">
        <v>0.45</v>
      </c>
      <c r="T125" s="15">
        <f t="shared" si="4"/>
        <v>0.252</v>
      </c>
      <c r="U125">
        <v>25.2</v>
      </c>
      <c r="V125">
        <v>53</v>
      </c>
      <c r="W125" s="12">
        <v>18.600000000000001</v>
      </c>
      <c r="X125" s="6">
        <v>118</v>
      </c>
      <c r="Y125" s="11">
        <f>VLOOKUP(B125,calculo!$C$5:$D$29,2,FALSE)</f>
        <v>0.24574892539335313</v>
      </c>
      <c r="Z125" s="11">
        <f>VLOOKUP(B125,calculo!$C$5:$E$29,3,FALSE)</f>
        <v>0.28399470059511489</v>
      </c>
      <c r="AA125" s="12">
        <f t="shared" si="5"/>
        <v>4153.7906137184118</v>
      </c>
    </row>
    <row r="126" spans="1:27">
      <c r="A126">
        <v>2022</v>
      </c>
      <c r="B126" s="13" t="s">
        <v>45</v>
      </c>
      <c r="C126" s="13" t="s">
        <v>46</v>
      </c>
      <c r="D126" s="12">
        <v>143.33000000000001</v>
      </c>
      <c r="E126" s="17">
        <f t="shared" si="3"/>
        <v>143330</v>
      </c>
      <c r="F126" s="12">
        <v>12254.7</v>
      </c>
      <c r="G126" s="7">
        <v>6</v>
      </c>
      <c r="H126" s="7">
        <v>15.3</v>
      </c>
      <c r="I126" s="12">
        <v>38.1</v>
      </c>
      <c r="J126" s="13" t="s">
        <v>29</v>
      </c>
      <c r="K126" s="13" t="s">
        <v>30</v>
      </c>
      <c r="L126">
        <v>9</v>
      </c>
      <c r="M126">
        <v>1989</v>
      </c>
      <c r="N126" s="15">
        <f>O126/100</f>
        <v>0.76700000000000002</v>
      </c>
      <c r="O126" s="14">
        <v>76.7</v>
      </c>
      <c r="P126">
        <v>76</v>
      </c>
      <c r="Q126">
        <v>0.6</v>
      </c>
      <c r="R126">
        <v>0.82</v>
      </c>
      <c r="S126">
        <v>0</v>
      </c>
      <c r="T126" s="15">
        <f t="shared" si="4"/>
        <v>0.28600000000000003</v>
      </c>
      <c r="U126">
        <v>28.6</v>
      </c>
      <c r="V126">
        <v>56</v>
      </c>
      <c r="W126" s="12">
        <v>1.9</v>
      </c>
      <c r="X126" s="6">
        <v>309</v>
      </c>
      <c r="Y126" s="11">
        <f>VLOOKUP(B126,calculo!$C$5:$D$29,2,FALSE)</f>
        <v>0.24574892539335313</v>
      </c>
      <c r="Z126" s="11">
        <f>VLOOKUP(B126,calculo!$C$5:$E$29,3,FALSE)</f>
        <v>0.28399470059511489</v>
      </c>
      <c r="AA126" s="12">
        <f t="shared" si="5"/>
        <v>23888.333333333332</v>
      </c>
    </row>
    <row r="127" spans="1:27">
      <c r="A127">
        <v>2023</v>
      </c>
      <c r="B127" s="13" t="s">
        <v>45</v>
      </c>
      <c r="C127" s="13" t="s">
        <v>46</v>
      </c>
      <c r="D127" s="12">
        <v>178.55</v>
      </c>
      <c r="E127" s="17">
        <f t="shared" si="3"/>
        <v>178550</v>
      </c>
      <c r="F127" s="12">
        <v>20881.3</v>
      </c>
      <c r="G127" s="7">
        <v>59.7</v>
      </c>
      <c r="H127" s="7">
        <v>168.5</v>
      </c>
      <c r="I127" s="12">
        <v>96.9</v>
      </c>
      <c r="J127" s="13" t="s">
        <v>31</v>
      </c>
      <c r="K127" s="13" t="s">
        <v>30</v>
      </c>
      <c r="L127">
        <v>102</v>
      </c>
      <c r="M127">
        <v>26928</v>
      </c>
      <c r="N127" s="15">
        <f>O127/100</f>
        <v>0.93099999999999994</v>
      </c>
      <c r="O127" s="14">
        <v>93.1</v>
      </c>
      <c r="P127">
        <v>38.1</v>
      </c>
      <c r="Q127">
        <v>0.68</v>
      </c>
      <c r="R127">
        <v>0.88</v>
      </c>
      <c r="S127">
        <v>0</v>
      </c>
      <c r="T127" s="15">
        <f t="shared" si="4"/>
        <v>0.29199999999999998</v>
      </c>
      <c r="U127">
        <v>29.2</v>
      </c>
      <c r="V127">
        <v>59</v>
      </c>
      <c r="W127" s="12">
        <v>27.2</v>
      </c>
      <c r="X127" s="6">
        <v>296</v>
      </c>
      <c r="Y127" s="11">
        <f>VLOOKUP(B127,calculo!$C$5:$D$29,2,FALSE)</f>
        <v>0.24574892539335313</v>
      </c>
      <c r="Z127" s="11">
        <f>VLOOKUP(B127,calculo!$C$5:$E$29,3,FALSE)</f>
        <v>0.28399470059511489</v>
      </c>
      <c r="AA127" s="12">
        <f t="shared" si="5"/>
        <v>2990.7872696817417</v>
      </c>
    </row>
    <row r="128" spans="1:27">
      <c r="A128">
        <v>2024</v>
      </c>
      <c r="B128" s="13" t="s">
        <v>45</v>
      </c>
      <c r="C128" s="13" t="s">
        <v>46</v>
      </c>
      <c r="D128" s="12">
        <v>222.43</v>
      </c>
      <c r="E128" s="17">
        <f t="shared" si="3"/>
        <v>222430</v>
      </c>
      <c r="F128" s="12">
        <v>20229.099999999999</v>
      </c>
      <c r="G128" s="7">
        <v>26.5</v>
      </c>
      <c r="H128" s="7">
        <v>83.4</v>
      </c>
      <c r="I128" s="12">
        <v>30.1</v>
      </c>
      <c r="J128" s="13" t="s">
        <v>34</v>
      </c>
      <c r="K128" s="13" t="s">
        <v>30</v>
      </c>
      <c r="L128">
        <v>20</v>
      </c>
      <c r="M128">
        <v>3780</v>
      </c>
      <c r="N128" s="15">
        <f>O128/100</f>
        <v>0.60599999999999998</v>
      </c>
      <c r="O128" s="14">
        <v>60.6</v>
      </c>
      <c r="P128">
        <v>54.9</v>
      </c>
      <c r="Q128">
        <v>0.79</v>
      </c>
      <c r="R128">
        <v>0.94</v>
      </c>
      <c r="S128">
        <v>0</v>
      </c>
      <c r="T128" s="15">
        <f t="shared" si="4"/>
        <v>0.34399999999999997</v>
      </c>
      <c r="U128">
        <v>34.4</v>
      </c>
      <c r="V128">
        <v>62</v>
      </c>
      <c r="W128" s="12">
        <v>7.9</v>
      </c>
      <c r="X128" s="6">
        <v>113</v>
      </c>
      <c r="Y128" s="11">
        <f>VLOOKUP(B128,calculo!$C$5:$D$29,2,FALSE)</f>
        <v>0.24574892539335313</v>
      </c>
      <c r="Z128" s="11">
        <f>VLOOKUP(B128,calculo!$C$5:$E$29,3,FALSE)</f>
        <v>0.28399470059511489</v>
      </c>
      <c r="AA128" s="12">
        <f t="shared" si="5"/>
        <v>8393.5849056603765</v>
      </c>
    </row>
    <row r="129" spans="1:27">
      <c r="A129">
        <v>2025</v>
      </c>
      <c r="B129" s="13" t="s">
        <v>45</v>
      </c>
      <c r="C129" s="13" t="s">
        <v>46</v>
      </c>
      <c r="D129" s="12">
        <v>277.08</v>
      </c>
      <c r="E129" s="17">
        <f t="shared" si="3"/>
        <v>277080</v>
      </c>
      <c r="F129" s="12">
        <v>32461.7</v>
      </c>
      <c r="G129" s="7">
        <v>7.4</v>
      </c>
      <c r="H129" s="7">
        <v>14.9</v>
      </c>
      <c r="I129" s="12">
        <v>124.5</v>
      </c>
      <c r="J129" s="13" t="s">
        <v>31</v>
      </c>
      <c r="K129" s="13" t="s">
        <v>30</v>
      </c>
      <c r="L129">
        <v>36</v>
      </c>
      <c r="M129">
        <v>7560</v>
      </c>
      <c r="N129" s="15">
        <f>O129/100</f>
        <v>0.57200000000000006</v>
      </c>
      <c r="O129" s="14">
        <v>57.2</v>
      </c>
      <c r="P129">
        <v>29.7</v>
      </c>
      <c r="Q129">
        <v>0.86</v>
      </c>
      <c r="R129">
        <v>1</v>
      </c>
      <c r="S129">
        <v>0</v>
      </c>
      <c r="T129" s="15">
        <f t="shared" si="4"/>
        <v>0.36599999999999999</v>
      </c>
      <c r="U129">
        <v>36.6</v>
      </c>
      <c r="V129">
        <v>65</v>
      </c>
      <c r="W129" s="12">
        <v>10.9</v>
      </c>
      <c r="X129" s="6">
        <v>301</v>
      </c>
      <c r="Y129" s="11">
        <f>VLOOKUP(B129,calculo!$C$5:$D$29,2,FALSE)</f>
        <v>0.24574892539335313</v>
      </c>
      <c r="Z129" s="11">
        <f>VLOOKUP(B129,calculo!$C$5:$E$29,3,FALSE)</f>
        <v>0.28399470059511489</v>
      </c>
      <c r="AA129" s="12">
        <f t="shared" si="5"/>
        <v>37443.24324324324</v>
      </c>
    </row>
    <row r="130" spans="1:27">
      <c r="A130">
        <v>2010</v>
      </c>
      <c r="B130" s="13" t="s">
        <v>47</v>
      </c>
      <c r="C130" s="13" t="s">
        <v>48</v>
      </c>
      <c r="D130" s="12">
        <v>5.24</v>
      </c>
      <c r="E130" s="17">
        <f t="shared" si="3"/>
        <v>5240</v>
      </c>
      <c r="F130" s="12">
        <v>753.5</v>
      </c>
      <c r="G130" s="7">
        <v>34.1</v>
      </c>
      <c r="H130" s="7">
        <v>72</v>
      </c>
      <c r="I130" s="12">
        <v>77.599999999999994</v>
      </c>
      <c r="J130" s="13" t="s">
        <v>34</v>
      </c>
      <c r="K130" s="13" t="s">
        <v>30</v>
      </c>
      <c r="L130">
        <v>27</v>
      </c>
      <c r="M130">
        <v>5481</v>
      </c>
      <c r="N130" s="15">
        <f>O130/100</f>
        <v>0.72400000000000009</v>
      </c>
      <c r="O130" s="14">
        <v>72.400000000000006</v>
      </c>
      <c r="P130">
        <v>99.4</v>
      </c>
      <c r="Q130">
        <v>0.06</v>
      </c>
      <c r="R130">
        <v>0.1</v>
      </c>
      <c r="S130">
        <v>0</v>
      </c>
      <c r="T130" s="15">
        <f t="shared" si="4"/>
        <v>9.5000000000000001E-2</v>
      </c>
      <c r="U130">
        <v>9.5</v>
      </c>
      <c r="V130">
        <v>20</v>
      </c>
      <c r="W130" s="12">
        <v>8.1</v>
      </c>
      <c r="X130" s="6">
        <v>110</v>
      </c>
      <c r="Y130" s="11">
        <f>VLOOKUP(B130,calculo!$C$5:$D$29,2,FALSE)</f>
        <v>0.10267189322748638</v>
      </c>
      <c r="Z130" s="11">
        <f>VLOOKUP(B130,calculo!$C$5:$E$29,3,FALSE)</f>
        <v>7.6008662219149148E-2</v>
      </c>
      <c r="AA130" s="12">
        <f t="shared" si="5"/>
        <v>153.66568914956011</v>
      </c>
    </row>
    <row r="131" spans="1:27">
      <c r="A131">
        <v>2011</v>
      </c>
      <c r="B131" s="13" t="s">
        <v>47</v>
      </c>
      <c r="C131" s="13" t="s">
        <v>48</v>
      </c>
      <c r="D131" s="12">
        <v>5.78</v>
      </c>
      <c r="E131" s="17">
        <f t="shared" ref="E131:E194" si="6">D131*1000</f>
        <v>5780</v>
      </c>
      <c r="F131" s="12">
        <v>518.70000000000005</v>
      </c>
      <c r="G131" s="7">
        <v>33.299999999999997</v>
      </c>
      <c r="H131" s="7">
        <v>91.8</v>
      </c>
      <c r="I131" s="12">
        <v>110.9</v>
      </c>
      <c r="J131" s="13" t="s">
        <v>34</v>
      </c>
      <c r="K131" s="13" t="s">
        <v>32</v>
      </c>
      <c r="L131">
        <v>110</v>
      </c>
      <c r="M131">
        <v>22770</v>
      </c>
      <c r="N131" s="15">
        <f>O131/100</f>
        <v>0.63700000000000001</v>
      </c>
      <c r="O131" s="14">
        <v>63.7</v>
      </c>
      <c r="P131">
        <v>31.1</v>
      </c>
      <c r="Q131">
        <v>0.1</v>
      </c>
      <c r="R131">
        <v>0.16</v>
      </c>
      <c r="S131">
        <v>0</v>
      </c>
      <c r="T131" s="15">
        <f t="shared" ref="T131:T194" si="7">U131/100</f>
        <v>6.7000000000000004E-2</v>
      </c>
      <c r="U131">
        <v>6.7</v>
      </c>
      <c r="V131">
        <v>23</v>
      </c>
      <c r="W131" s="12">
        <v>36.299999999999997</v>
      </c>
      <c r="X131" s="6">
        <v>414</v>
      </c>
      <c r="Y131" s="11">
        <f>VLOOKUP(B131,calculo!$C$5:$D$29,2,FALSE)</f>
        <v>0.10267189322748638</v>
      </c>
      <c r="Z131" s="11">
        <f>VLOOKUP(B131,calculo!$C$5:$E$29,3,FALSE)</f>
        <v>7.6008662219149148E-2</v>
      </c>
      <c r="AA131" s="12">
        <f t="shared" ref="AA131:AA194" si="8">E131/G131</f>
        <v>173.57357357357358</v>
      </c>
    </row>
    <row r="132" spans="1:27">
      <c r="A132">
        <v>2012</v>
      </c>
      <c r="B132" s="13" t="s">
        <v>47</v>
      </c>
      <c r="C132" s="13" t="s">
        <v>48</v>
      </c>
      <c r="D132" s="12">
        <v>6.38</v>
      </c>
      <c r="E132" s="17">
        <f t="shared" si="6"/>
        <v>6380</v>
      </c>
      <c r="F132" s="12">
        <v>685.4</v>
      </c>
      <c r="G132" s="7">
        <v>29.8</v>
      </c>
      <c r="H132" s="7">
        <v>63.4</v>
      </c>
      <c r="I132" s="12">
        <v>102.8</v>
      </c>
      <c r="J132" s="13" t="s">
        <v>29</v>
      </c>
      <c r="K132" s="13" t="s">
        <v>32</v>
      </c>
      <c r="L132">
        <v>69</v>
      </c>
      <c r="M132">
        <v>10971</v>
      </c>
      <c r="N132" s="15">
        <f>O132/100</f>
        <v>0.92900000000000005</v>
      </c>
      <c r="O132" s="14">
        <v>92.9</v>
      </c>
      <c r="P132">
        <v>86.9</v>
      </c>
      <c r="Q132">
        <v>0.14000000000000001</v>
      </c>
      <c r="R132">
        <v>0.22</v>
      </c>
      <c r="S132">
        <v>0</v>
      </c>
      <c r="T132" s="15">
        <f t="shared" si="7"/>
        <v>0.13600000000000001</v>
      </c>
      <c r="U132">
        <v>13.6</v>
      </c>
      <c r="V132">
        <v>26</v>
      </c>
      <c r="W132" s="12">
        <v>25.8</v>
      </c>
      <c r="X132" s="6">
        <v>150</v>
      </c>
      <c r="Y132" s="11">
        <f>VLOOKUP(B132,calculo!$C$5:$D$29,2,FALSE)</f>
        <v>0.10267189322748638</v>
      </c>
      <c r="Z132" s="11">
        <f>VLOOKUP(B132,calculo!$C$5:$E$29,3,FALSE)</f>
        <v>7.6008662219149148E-2</v>
      </c>
      <c r="AA132" s="12">
        <f t="shared" si="8"/>
        <v>214.09395973154361</v>
      </c>
    </row>
    <row r="133" spans="1:27">
      <c r="A133">
        <v>2013</v>
      </c>
      <c r="B133" s="13" t="s">
        <v>47</v>
      </c>
      <c r="C133" s="13" t="s">
        <v>48</v>
      </c>
      <c r="D133" s="12">
        <v>7.03</v>
      </c>
      <c r="E133" s="17">
        <f t="shared" si="6"/>
        <v>7030</v>
      </c>
      <c r="F133" s="12">
        <v>369.6</v>
      </c>
      <c r="G133" s="7">
        <v>9.8000000000000007</v>
      </c>
      <c r="H133" s="7">
        <v>33.700000000000003</v>
      </c>
      <c r="I133" s="12">
        <v>95.9</v>
      </c>
      <c r="J133" s="13" t="s">
        <v>29</v>
      </c>
      <c r="K133" s="13" t="s">
        <v>32</v>
      </c>
      <c r="L133">
        <v>36</v>
      </c>
      <c r="M133">
        <v>6372</v>
      </c>
      <c r="N133" s="15">
        <f>O133/100</f>
        <v>0.72799999999999998</v>
      </c>
      <c r="O133" s="14">
        <v>72.8</v>
      </c>
      <c r="P133">
        <v>58</v>
      </c>
      <c r="Q133">
        <v>7.0000000000000007E-2</v>
      </c>
      <c r="R133">
        <v>0.28000000000000003</v>
      </c>
      <c r="S133">
        <v>0</v>
      </c>
      <c r="T133" s="15">
        <f t="shared" si="7"/>
        <v>0.14599999999999999</v>
      </c>
      <c r="U133">
        <v>14.6</v>
      </c>
      <c r="V133">
        <v>29</v>
      </c>
      <c r="W133" s="12">
        <v>9.3000000000000007</v>
      </c>
      <c r="X133" s="6">
        <v>325</v>
      </c>
      <c r="Y133" s="11">
        <f>VLOOKUP(B133,calculo!$C$5:$D$29,2,FALSE)</f>
        <v>0.10267189322748638</v>
      </c>
      <c r="Z133" s="11">
        <f>VLOOKUP(B133,calculo!$C$5:$E$29,3,FALSE)</f>
        <v>7.6008662219149148E-2</v>
      </c>
      <c r="AA133" s="12">
        <f t="shared" si="8"/>
        <v>717.34693877551013</v>
      </c>
    </row>
    <row r="134" spans="1:27">
      <c r="A134">
        <v>2014</v>
      </c>
      <c r="B134" s="13" t="s">
        <v>47</v>
      </c>
      <c r="C134" s="13" t="s">
        <v>48</v>
      </c>
      <c r="D134" s="12">
        <v>7.75</v>
      </c>
      <c r="E134" s="17">
        <f t="shared" si="6"/>
        <v>7750</v>
      </c>
      <c r="F134" s="12">
        <v>670.3</v>
      </c>
      <c r="G134" s="7">
        <v>24.4</v>
      </c>
      <c r="H134" s="7">
        <v>64.2</v>
      </c>
      <c r="I134" s="12">
        <v>53</v>
      </c>
      <c r="J134" s="13" t="s">
        <v>33</v>
      </c>
      <c r="K134" s="13" t="s">
        <v>36</v>
      </c>
      <c r="L134">
        <v>93</v>
      </c>
      <c r="M134">
        <v>16647</v>
      </c>
      <c r="N134" s="15">
        <f>O134/100</f>
        <v>0.77900000000000003</v>
      </c>
      <c r="O134" s="14">
        <v>77.900000000000006</v>
      </c>
      <c r="P134">
        <v>47.3</v>
      </c>
      <c r="Q134">
        <v>0.1</v>
      </c>
      <c r="R134">
        <v>0.34</v>
      </c>
      <c r="S134">
        <v>0</v>
      </c>
      <c r="T134" s="15">
        <f t="shared" si="7"/>
        <v>0.16200000000000001</v>
      </c>
      <c r="U134">
        <v>16.2</v>
      </c>
      <c r="V134">
        <v>32</v>
      </c>
      <c r="W134" s="12">
        <v>25.2</v>
      </c>
      <c r="X134" s="6">
        <v>480</v>
      </c>
      <c r="Y134" s="11">
        <f>VLOOKUP(B134,calculo!$C$5:$D$29,2,FALSE)</f>
        <v>0.10267189322748638</v>
      </c>
      <c r="Z134" s="11">
        <f>VLOOKUP(B134,calculo!$C$5:$E$29,3,FALSE)</f>
        <v>7.6008662219149148E-2</v>
      </c>
      <c r="AA134" s="12">
        <f t="shared" si="8"/>
        <v>317.62295081967216</v>
      </c>
    </row>
    <row r="135" spans="1:27">
      <c r="A135">
        <v>2015</v>
      </c>
      <c r="B135" s="13" t="s">
        <v>47</v>
      </c>
      <c r="C135" s="13" t="s">
        <v>48</v>
      </c>
      <c r="D135" s="12">
        <v>8.5500000000000007</v>
      </c>
      <c r="E135" s="17">
        <f t="shared" si="6"/>
        <v>8550</v>
      </c>
      <c r="F135" s="12">
        <v>531.1</v>
      </c>
      <c r="G135" s="7">
        <v>19.600000000000001</v>
      </c>
      <c r="H135" s="7">
        <v>33.299999999999997</v>
      </c>
      <c r="I135" s="12">
        <v>113.1</v>
      </c>
      <c r="J135" s="13" t="s">
        <v>35</v>
      </c>
      <c r="K135" s="13" t="s">
        <v>36</v>
      </c>
      <c r="L135">
        <v>101</v>
      </c>
      <c r="M135">
        <v>5353</v>
      </c>
      <c r="N135" s="15">
        <f>O135/100</f>
        <v>0.77700000000000002</v>
      </c>
      <c r="O135" s="14">
        <v>77.7</v>
      </c>
      <c r="P135">
        <v>48</v>
      </c>
      <c r="Q135">
        <v>7.0000000000000007E-2</v>
      </c>
      <c r="R135">
        <v>0.4</v>
      </c>
      <c r="S135">
        <v>0</v>
      </c>
      <c r="T135" s="15">
        <f t="shared" si="7"/>
        <v>0.17499999999999999</v>
      </c>
      <c r="U135">
        <v>17.5</v>
      </c>
      <c r="V135">
        <v>35</v>
      </c>
      <c r="W135" s="12">
        <v>31.1</v>
      </c>
      <c r="X135" s="6">
        <v>317</v>
      </c>
      <c r="Y135" s="11">
        <f>VLOOKUP(B135,calculo!$C$5:$D$29,2,FALSE)</f>
        <v>0.10267189322748638</v>
      </c>
      <c r="Z135" s="11">
        <f>VLOOKUP(B135,calculo!$C$5:$E$29,3,FALSE)</f>
        <v>7.6008662219149148E-2</v>
      </c>
      <c r="AA135" s="12">
        <f t="shared" si="8"/>
        <v>436.22448979591832</v>
      </c>
    </row>
    <row r="136" spans="1:27">
      <c r="A136">
        <v>2016</v>
      </c>
      <c r="B136" s="13" t="s">
        <v>47</v>
      </c>
      <c r="C136" s="13" t="s">
        <v>48</v>
      </c>
      <c r="D136" s="12">
        <v>9.42</v>
      </c>
      <c r="E136" s="17">
        <f t="shared" si="6"/>
        <v>9420</v>
      </c>
      <c r="F136" s="12">
        <v>1153.7</v>
      </c>
      <c r="G136" s="7">
        <v>47.9</v>
      </c>
      <c r="H136" s="7">
        <v>110.7</v>
      </c>
      <c r="I136" s="12">
        <v>108.5</v>
      </c>
      <c r="J136" s="13" t="s">
        <v>29</v>
      </c>
      <c r="K136" s="13" t="s">
        <v>36</v>
      </c>
      <c r="L136">
        <v>103</v>
      </c>
      <c r="M136">
        <v>5768</v>
      </c>
      <c r="N136" s="15">
        <f>O136/100</f>
        <v>0.84599999999999997</v>
      </c>
      <c r="O136" s="14">
        <v>84.6</v>
      </c>
      <c r="P136">
        <v>25.8</v>
      </c>
      <c r="Q136">
        <v>0.23</v>
      </c>
      <c r="R136">
        <v>0.46</v>
      </c>
      <c r="S136">
        <v>0</v>
      </c>
      <c r="T136" s="15">
        <f t="shared" si="7"/>
        <v>0.20899999999999999</v>
      </c>
      <c r="U136">
        <v>20.9</v>
      </c>
      <c r="V136">
        <v>38</v>
      </c>
      <c r="W136" s="12">
        <v>29</v>
      </c>
      <c r="X136" s="6">
        <v>395</v>
      </c>
      <c r="Y136" s="11">
        <f>VLOOKUP(B136,calculo!$C$5:$D$29,2,FALSE)</f>
        <v>0.10267189322748638</v>
      </c>
      <c r="Z136" s="11">
        <f>VLOOKUP(B136,calculo!$C$5:$E$29,3,FALSE)</f>
        <v>7.6008662219149148E-2</v>
      </c>
      <c r="AA136" s="12">
        <f t="shared" si="8"/>
        <v>196.65970772442589</v>
      </c>
    </row>
    <row r="137" spans="1:27">
      <c r="A137">
        <v>2017</v>
      </c>
      <c r="B137" s="13" t="s">
        <v>47</v>
      </c>
      <c r="C137" s="13" t="s">
        <v>48</v>
      </c>
      <c r="D137" s="12">
        <v>10.39</v>
      </c>
      <c r="E137" s="17">
        <f t="shared" si="6"/>
        <v>10390</v>
      </c>
      <c r="F137" s="12">
        <v>1340.7</v>
      </c>
      <c r="G137" s="7">
        <v>35.799999999999997</v>
      </c>
      <c r="H137" s="7">
        <v>102.4</v>
      </c>
      <c r="I137" s="12">
        <v>52.8</v>
      </c>
      <c r="J137" s="13" t="s">
        <v>33</v>
      </c>
      <c r="K137" s="13" t="s">
        <v>30</v>
      </c>
      <c r="L137">
        <v>9</v>
      </c>
      <c r="M137">
        <v>1026</v>
      </c>
      <c r="N137" s="15">
        <f>O137/100</f>
        <v>0.78299999999999992</v>
      </c>
      <c r="O137" s="14">
        <v>78.3</v>
      </c>
      <c r="P137">
        <v>39.9</v>
      </c>
      <c r="Q137">
        <v>0.25</v>
      </c>
      <c r="R137">
        <v>0.52</v>
      </c>
      <c r="S137">
        <v>0</v>
      </c>
      <c r="T137" s="15">
        <f t="shared" si="7"/>
        <v>0.19600000000000001</v>
      </c>
      <c r="U137">
        <v>19.600000000000001</v>
      </c>
      <c r="V137">
        <v>41</v>
      </c>
      <c r="W137" s="12">
        <v>2.1</v>
      </c>
      <c r="X137" s="6">
        <v>494</v>
      </c>
      <c r="Y137" s="11">
        <f>VLOOKUP(B137,calculo!$C$5:$D$29,2,FALSE)</f>
        <v>0.10267189322748638</v>
      </c>
      <c r="Z137" s="11">
        <f>VLOOKUP(B137,calculo!$C$5:$E$29,3,FALSE)</f>
        <v>7.6008662219149148E-2</v>
      </c>
      <c r="AA137" s="12">
        <f t="shared" si="8"/>
        <v>290.22346368715085</v>
      </c>
    </row>
    <row r="138" spans="1:27">
      <c r="A138">
        <v>2018</v>
      </c>
      <c r="B138" s="13" t="s">
        <v>47</v>
      </c>
      <c r="C138" s="13" t="s">
        <v>48</v>
      </c>
      <c r="D138" s="12">
        <v>11.46</v>
      </c>
      <c r="E138" s="17">
        <f t="shared" si="6"/>
        <v>11460</v>
      </c>
      <c r="F138" s="12">
        <v>698.6</v>
      </c>
      <c r="G138" s="7">
        <v>33.799999999999997</v>
      </c>
      <c r="H138" s="7">
        <v>81.400000000000006</v>
      </c>
      <c r="I138" s="12">
        <v>131.30000000000001</v>
      </c>
      <c r="J138" s="13" t="s">
        <v>31</v>
      </c>
      <c r="K138" s="13" t="s">
        <v>30</v>
      </c>
      <c r="L138">
        <v>59</v>
      </c>
      <c r="M138">
        <v>9794</v>
      </c>
      <c r="N138" s="15">
        <f>O138/100</f>
        <v>0.64599999999999991</v>
      </c>
      <c r="O138" s="14">
        <v>64.599999999999994</v>
      </c>
      <c r="P138">
        <v>80.3</v>
      </c>
      <c r="Q138">
        <v>0.34</v>
      </c>
      <c r="R138">
        <v>0.57999999999999996</v>
      </c>
      <c r="S138">
        <v>0</v>
      </c>
      <c r="T138" s="15">
        <f t="shared" si="7"/>
        <v>0.245</v>
      </c>
      <c r="U138">
        <v>24.5</v>
      </c>
      <c r="V138">
        <v>44</v>
      </c>
      <c r="W138" s="12">
        <v>16.100000000000001</v>
      </c>
      <c r="X138" s="6">
        <v>241</v>
      </c>
      <c r="Y138" s="11">
        <f>VLOOKUP(B138,calculo!$C$5:$D$29,2,FALSE)</f>
        <v>0.10267189322748638</v>
      </c>
      <c r="Z138" s="11">
        <f>VLOOKUP(B138,calculo!$C$5:$E$29,3,FALSE)</f>
        <v>7.6008662219149148E-2</v>
      </c>
      <c r="AA138" s="12">
        <f t="shared" si="8"/>
        <v>339.05325443786984</v>
      </c>
    </row>
    <row r="139" spans="1:27">
      <c r="A139">
        <v>2019</v>
      </c>
      <c r="B139" s="13" t="s">
        <v>47</v>
      </c>
      <c r="C139" s="13" t="s">
        <v>48</v>
      </c>
      <c r="D139" s="12">
        <v>12.63</v>
      </c>
      <c r="E139" s="17">
        <f t="shared" si="6"/>
        <v>12630</v>
      </c>
      <c r="F139" s="12">
        <v>1717.5</v>
      </c>
      <c r="G139" s="7">
        <v>24.8</v>
      </c>
      <c r="H139" s="7">
        <v>84.5</v>
      </c>
      <c r="I139" s="12">
        <v>46</v>
      </c>
      <c r="J139" s="13" t="s">
        <v>35</v>
      </c>
      <c r="K139" s="13" t="s">
        <v>36</v>
      </c>
      <c r="L139">
        <v>68</v>
      </c>
      <c r="M139">
        <v>4488</v>
      </c>
      <c r="N139" s="15">
        <f>O139/100</f>
        <v>0.8640000000000001</v>
      </c>
      <c r="O139" s="14">
        <v>86.4</v>
      </c>
      <c r="P139">
        <v>30.7</v>
      </c>
      <c r="Q139">
        <v>0.44</v>
      </c>
      <c r="R139">
        <v>0.64</v>
      </c>
      <c r="S139">
        <v>0</v>
      </c>
      <c r="T139" s="15">
        <f t="shared" si="7"/>
        <v>0.27399999999999997</v>
      </c>
      <c r="U139">
        <v>27.4</v>
      </c>
      <c r="V139">
        <v>47</v>
      </c>
      <c r="W139" s="12">
        <v>21.4</v>
      </c>
      <c r="X139" s="6">
        <v>106</v>
      </c>
      <c r="Y139" s="11">
        <f>VLOOKUP(B139,calculo!$C$5:$D$29,2,FALSE)</f>
        <v>0.10267189322748638</v>
      </c>
      <c r="Z139" s="11">
        <f>VLOOKUP(B139,calculo!$C$5:$E$29,3,FALSE)</f>
        <v>7.6008662219149148E-2</v>
      </c>
      <c r="AA139" s="12">
        <f t="shared" si="8"/>
        <v>509.27419354838707</v>
      </c>
    </row>
    <row r="140" spans="1:27">
      <c r="A140">
        <v>2020</v>
      </c>
      <c r="B140" s="13" t="s">
        <v>47</v>
      </c>
      <c r="C140" s="13" t="s">
        <v>48</v>
      </c>
      <c r="D140" s="12">
        <v>13.93</v>
      </c>
      <c r="E140" s="17">
        <f t="shared" si="6"/>
        <v>13930</v>
      </c>
      <c r="F140" s="12">
        <v>1614.8</v>
      </c>
      <c r="G140" s="7">
        <v>53.9</v>
      </c>
      <c r="H140" s="7">
        <v>149.5</v>
      </c>
      <c r="I140" s="12">
        <v>103.7</v>
      </c>
      <c r="J140" s="13" t="s">
        <v>34</v>
      </c>
      <c r="K140" s="13" t="s">
        <v>36</v>
      </c>
      <c r="L140">
        <v>64</v>
      </c>
      <c r="M140">
        <v>8704</v>
      </c>
      <c r="N140" s="15">
        <f>O140/100</f>
        <v>0.83200000000000007</v>
      </c>
      <c r="O140" s="14">
        <v>83.2</v>
      </c>
      <c r="P140">
        <v>63.4</v>
      </c>
      <c r="Q140">
        <v>0.61</v>
      </c>
      <c r="R140">
        <v>1.24</v>
      </c>
      <c r="S140">
        <v>0.54</v>
      </c>
      <c r="T140" s="15">
        <f t="shared" si="7"/>
        <v>0.255</v>
      </c>
      <c r="U140">
        <v>25.5</v>
      </c>
      <c r="V140">
        <v>50</v>
      </c>
      <c r="W140" s="12">
        <v>17.899999999999999</v>
      </c>
      <c r="X140" s="6">
        <v>110</v>
      </c>
      <c r="Y140" s="11">
        <f>VLOOKUP(B140,calculo!$C$5:$D$29,2,FALSE)</f>
        <v>0.10267189322748638</v>
      </c>
      <c r="Z140" s="11">
        <f>VLOOKUP(B140,calculo!$C$5:$E$29,3,FALSE)</f>
        <v>7.6008662219149148E-2</v>
      </c>
      <c r="AA140" s="12">
        <f t="shared" si="8"/>
        <v>258.44155844155847</v>
      </c>
    </row>
    <row r="141" spans="1:27">
      <c r="A141">
        <v>2021</v>
      </c>
      <c r="B141" s="13" t="s">
        <v>47</v>
      </c>
      <c r="C141" s="13" t="s">
        <v>48</v>
      </c>
      <c r="D141" s="12">
        <v>15.36</v>
      </c>
      <c r="E141" s="17">
        <f t="shared" si="6"/>
        <v>15360</v>
      </c>
      <c r="F141" s="12">
        <v>929.7</v>
      </c>
      <c r="G141" s="7">
        <v>4.0999999999999996</v>
      </c>
      <c r="H141" s="7">
        <v>10.199999999999999</v>
      </c>
      <c r="I141" s="12">
        <v>76.5</v>
      </c>
      <c r="J141" s="13" t="s">
        <v>31</v>
      </c>
      <c r="K141" s="13" t="s">
        <v>32</v>
      </c>
      <c r="L141">
        <v>35</v>
      </c>
      <c r="M141">
        <v>5565</v>
      </c>
      <c r="N141" s="15">
        <f>O141/100</f>
        <v>0.92400000000000004</v>
      </c>
      <c r="O141" s="14">
        <v>92.4</v>
      </c>
      <c r="P141">
        <v>83.8</v>
      </c>
      <c r="Q141">
        <v>0.63</v>
      </c>
      <c r="R141">
        <v>0.98</v>
      </c>
      <c r="S141">
        <v>0.22</v>
      </c>
      <c r="T141" s="15">
        <f t="shared" si="7"/>
        <v>0.29499999999999998</v>
      </c>
      <c r="U141">
        <v>29.5</v>
      </c>
      <c r="V141">
        <v>53</v>
      </c>
      <c r="W141" s="12">
        <v>13.9</v>
      </c>
      <c r="X141" s="6">
        <v>60</v>
      </c>
      <c r="Y141" s="11">
        <f>VLOOKUP(B141,calculo!$C$5:$D$29,2,FALSE)</f>
        <v>0.10267189322748638</v>
      </c>
      <c r="Z141" s="11">
        <f>VLOOKUP(B141,calculo!$C$5:$E$29,3,FALSE)</f>
        <v>7.6008662219149148E-2</v>
      </c>
      <c r="AA141" s="12">
        <f t="shared" si="8"/>
        <v>3746.3414634146343</v>
      </c>
    </row>
    <row r="142" spans="1:27">
      <c r="A142">
        <v>2022</v>
      </c>
      <c r="B142" s="13" t="s">
        <v>47</v>
      </c>
      <c r="C142" s="13" t="s">
        <v>48</v>
      </c>
      <c r="D142" s="12">
        <v>16.93</v>
      </c>
      <c r="E142" s="17">
        <f t="shared" si="6"/>
        <v>16930</v>
      </c>
      <c r="F142" s="12">
        <v>1295.5999999999999</v>
      </c>
      <c r="G142" s="7">
        <v>3.2</v>
      </c>
      <c r="H142" s="7">
        <v>5.4</v>
      </c>
      <c r="I142" s="12">
        <v>146.1</v>
      </c>
      <c r="J142" s="13" t="s">
        <v>35</v>
      </c>
      <c r="K142" s="13" t="s">
        <v>36</v>
      </c>
      <c r="L142">
        <v>99</v>
      </c>
      <c r="M142">
        <v>18315</v>
      </c>
      <c r="N142" s="15">
        <f>O142/100</f>
        <v>0.67200000000000004</v>
      </c>
      <c r="O142" s="14">
        <v>67.2</v>
      </c>
      <c r="P142">
        <v>40.4</v>
      </c>
      <c r="Q142">
        <v>0.72</v>
      </c>
      <c r="R142">
        <v>0.82</v>
      </c>
      <c r="S142">
        <v>0</v>
      </c>
      <c r="T142" s="15">
        <f t="shared" si="7"/>
        <v>0.314</v>
      </c>
      <c r="U142">
        <v>31.4</v>
      </c>
      <c r="V142">
        <v>56</v>
      </c>
      <c r="W142" s="12">
        <v>33.9</v>
      </c>
      <c r="X142" s="6">
        <v>58</v>
      </c>
      <c r="Y142" s="11">
        <f>VLOOKUP(B142,calculo!$C$5:$D$29,2,FALSE)</f>
        <v>0.10267189322748638</v>
      </c>
      <c r="Z142" s="11">
        <f>VLOOKUP(B142,calculo!$C$5:$E$29,3,FALSE)</f>
        <v>7.6008662219149148E-2</v>
      </c>
      <c r="AA142" s="12">
        <f t="shared" si="8"/>
        <v>5290.625</v>
      </c>
    </row>
    <row r="143" spans="1:27">
      <c r="A143">
        <v>2023</v>
      </c>
      <c r="B143" s="13" t="s">
        <v>47</v>
      </c>
      <c r="C143" s="13" t="s">
        <v>48</v>
      </c>
      <c r="D143" s="12">
        <v>18.670000000000002</v>
      </c>
      <c r="E143" s="17">
        <f t="shared" si="6"/>
        <v>18670</v>
      </c>
      <c r="F143" s="12">
        <v>1062.9000000000001</v>
      </c>
      <c r="G143" s="7">
        <v>57.7</v>
      </c>
      <c r="H143" s="7">
        <v>141.69999999999999</v>
      </c>
      <c r="I143" s="12">
        <v>137.5</v>
      </c>
      <c r="J143" s="13" t="s">
        <v>34</v>
      </c>
      <c r="K143" s="13" t="s">
        <v>30</v>
      </c>
      <c r="L143">
        <v>14</v>
      </c>
      <c r="M143">
        <v>2772</v>
      </c>
      <c r="N143" s="15">
        <f>O143/100</f>
        <v>0.77099999999999991</v>
      </c>
      <c r="O143" s="14">
        <v>77.099999999999994</v>
      </c>
      <c r="P143">
        <v>68.7</v>
      </c>
      <c r="Q143">
        <v>0.7</v>
      </c>
      <c r="R143">
        <v>0.88</v>
      </c>
      <c r="S143">
        <v>0</v>
      </c>
      <c r="T143" s="15">
        <f t="shared" si="7"/>
        <v>0.29899999999999999</v>
      </c>
      <c r="U143">
        <v>29.9</v>
      </c>
      <c r="V143">
        <v>59</v>
      </c>
      <c r="W143" s="12">
        <v>2.5</v>
      </c>
      <c r="X143" s="6">
        <v>360</v>
      </c>
      <c r="Y143" s="11">
        <f>VLOOKUP(B143,calculo!$C$5:$D$29,2,FALSE)</f>
        <v>0.10267189322748638</v>
      </c>
      <c r="Z143" s="11">
        <f>VLOOKUP(B143,calculo!$C$5:$E$29,3,FALSE)</f>
        <v>7.6008662219149148E-2</v>
      </c>
      <c r="AA143" s="12">
        <f t="shared" si="8"/>
        <v>323.57019064124779</v>
      </c>
    </row>
    <row r="144" spans="1:27">
      <c r="A144">
        <v>2024</v>
      </c>
      <c r="B144" s="13" t="s">
        <v>47</v>
      </c>
      <c r="C144" s="13" t="s">
        <v>48</v>
      </c>
      <c r="D144" s="12">
        <v>20.59</v>
      </c>
      <c r="E144" s="17">
        <f t="shared" si="6"/>
        <v>20590</v>
      </c>
      <c r="F144" s="12">
        <v>1351.9</v>
      </c>
      <c r="G144" s="7">
        <v>4.5</v>
      </c>
      <c r="H144" s="7">
        <v>7.8</v>
      </c>
      <c r="I144" s="12">
        <v>101.8</v>
      </c>
      <c r="J144" s="13" t="s">
        <v>31</v>
      </c>
      <c r="K144" s="13" t="s">
        <v>30</v>
      </c>
      <c r="L144">
        <v>77</v>
      </c>
      <c r="M144">
        <v>15554</v>
      </c>
      <c r="N144" s="15">
        <f>O144/100</f>
        <v>0.77599999999999991</v>
      </c>
      <c r="O144" s="14">
        <v>77.599999999999994</v>
      </c>
      <c r="P144">
        <v>95.7</v>
      </c>
      <c r="Q144">
        <v>0.94</v>
      </c>
      <c r="R144">
        <v>0.94</v>
      </c>
      <c r="S144">
        <v>0</v>
      </c>
      <c r="T144" s="15">
        <f t="shared" si="7"/>
        <v>0.34200000000000003</v>
      </c>
      <c r="U144">
        <v>34.200000000000003</v>
      </c>
      <c r="V144">
        <v>62</v>
      </c>
      <c r="W144" s="12">
        <v>18.8</v>
      </c>
      <c r="X144" s="6">
        <v>423</v>
      </c>
      <c r="Y144" s="11">
        <f>VLOOKUP(B144,calculo!$C$5:$D$29,2,FALSE)</f>
        <v>0.10267189322748638</v>
      </c>
      <c r="Z144" s="11">
        <f>VLOOKUP(B144,calculo!$C$5:$E$29,3,FALSE)</f>
        <v>7.6008662219149148E-2</v>
      </c>
      <c r="AA144" s="12">
        <f t="shared" si="8"/>
        <v>4575.5555555555557</v>
      </c>
    </row>
    <row r="145" spans="1:27">
      <c r="A145">
        <v>2025</v>
      </c>
      <c r="B145" s="13" t="s">
        <v>47</v>
      </c>
      <c r="C145" s="13" t="s">
        <v>48</v>
      </c>
      <c r="D145" s="12">
        <v>22.7</v>
      </c>
      <c r="E145" s="17">
        <f t="shared" si="6"/>
        <v>22700</v>
      </c>
      <c r="F145" s="12">
        <v>2261.1</v>
      </c>
      <c r="G145" s="7">
        <v>2.7</v>
      </c>
      <c r="H145" s="7">
        <v>9.5</v>
      </c>
      <c r="I145" s="12">
        <v>110.6</v>
      </c>
      <c r="J145" s="13" t="s">
        <v>31</v>
      </c>
      <c r="K145" s="13" t="s">
        <v>36</v>
      </c>
      <c r="L145">
        <v>98</v>
      </c>
      <c r="M145">
        <v>16464</v>
      </c>
      <c r="N145" s="15">
        <f>O145/100</f>
        <v>0.745</v>
      </c>
      <c r="O145" s="14">
        <v>74.5</v>
      </c>
      <c r="P145">
        <v>72.7</v>
      </c>
      <c r="Q145">
        <v>0.91</v>
      </c>
      <c r="R145">
        <v>1</v>
      </c>
      <c r="S145">
        <v>0</v>
      </c>
      <c r="T145" s="15">
        <f t="shared" si="7"/>
        <v>0.36</v>
      </c>
      <c r="U145">
        <v>36</v>
      </c>
      <c r="V145">
        <v>65</v>
      </c>
      <c r="W145" s="12">
        <v>36.200000000000003</v>
      </c>
      <c r="X145" s="6">
        <v>158</v>
      </c>
      <c r="Y145" s="11">
        <f>VLOOKUP(B145,calculo!$C$5:$D$29,2,FALSE)</f>
        <v>0.10267189322748638</v>
      </c>
      <c r="Z145" s="11">
        <f>VLOOKUP(B145,calculo!$C$5:$E$29,3,FALSE)</f>
        <v>7.6008662219149148E-2</v>
      </c>
      <c r="AA145" s="12">
        <f t="shared" si="8"/>
        <v>8407.4074074074069</v>
      </c>
    </row>
    <row r="146" spans="1:27">
      <c r="A146">
        <v>2010</v>
      </c>
      <c r="B146" s="13" t="s">
        <v>49</v>
      </c>
      <c r="C146" s="13" t="s">
        <v>28</v>
      </c>
      <c r="D146" s="12">
        <v>14.7</v>
      </c>
      <c r="E146" s="17">
        <f t="shared" si="6"/>
        <v>14700</v>
      </c>
      <c r="F146" s="12">
        <v>814</v>
      </c>
      <c r="G146" s="7">
        <v>20.6</v>
      </c>
      <c r="H146" s="7">
        <v>61.8</v>
      </c>
      <c r="I146" s="12">
        <v>62.3</v>
      </c>
      <c r="J146" s="13" t="s">
        <v>33</v>
      </c>
      <c r="K146" s="13" t="s">
        <v>36</v>
      </c>
      <c r="L146">
        <v>96</v>
      </c>
      <c r="M146">
        <v>7488</v>
      </c>
      <c r="N146" s="15">
        <f>O146/100</f>
        <v>0.80799999999999994</v>
      </c>
      <c r="O146" s="14">
        <v>80.8</v>
      </c>
      <c r="P146">
        <v>31.9</v>
      </c>
      <c r="Q146">
        <v>0.04</v>
      </c>
      <c r="R146">
        <v>0.1</v>
      </c>
      <c r="S146">
        <v>0</v>
      </c>
      <c r="T146" s="15">
        <f t="shared" si="7"/>
        <v>0.105</v>
      </c>
      <c r="U146">
        <v>10.5</v>
      </c>
      <c r="V146">
        <v>20</v>
      </c>
      <c r="W146" s="12">
        <v>31.9</v>
      </c>
      <c r="X146" s="6">
        <v>59</v>
      </c>
      <c r="Y146" s="11">
        <f>VLOOKUP(B146,calculo!$C$5:$D$29,2,FALSE)</f>
        <v>0.19962361768845782</v>
      </c>
      <c r="Z146" s="11">
        <f>VLOOKUP(B146,calculo!$C$5:$E$29,3,FALSE)</f>
        <v>0.24464551953594671</v>
      </c>
      <c r="AA146" s="12">
        <f t="shared" si="8"/>
        <v>713.59223300970871</v>
      </c>
    </row>
    <row r="147" spans="1:27">
      <c r="A147">
        <v>2011</v>
      </c>
      <c r="B147" s="13" t="s">
        <v>49</v>
      </c>
      <c r="C147" s="13" t="s">
        <v>28</v>
      </c>
      <c r="D147" s="12">
        <v>17.63</v>
      </c>
      <c r="E147" s="17">
        <f t="shared" si="6"/>
        <v>17630</v>
      </c>
      <c r="F147" s="12">
        <v>2363.9</v>
      </c>
      <c r="G147" s="7">
        <v>44.5</v>
      </c>
      <c r="H147" s="7">
        <v>115</v>
      </c>
      <c r="I147" s="12">
        <v>100.8</v>
      </c>
      <c r="J147" s="13" t="s">
        <v>34</v>
      </c>
      <c r="K147" s="13" t="s">
        <v>32</v>
      </c>
      <c r="L147">
        <v>60</v>
      </c>
      <c r="M147">
        <v>3120</v>
      </c>
      <c r="N147" s="15">
        <f>O147/100</f>
        <v>0.81</v>
      </c>
      <c r="O147" s="14">
        <v>81</v>
      </c>
      <c r="P147">
        <v>90.5</v>
      </c>
      <c r="Q147">
        <v>0.1</v>
      </c>
      <c r="R147">
        <v>0.16</v>
      </c>
      <c r="S147">
        <v>0</v>
      </c>
      <c r="T147" s="15">
        <f t="shared" si="7"/>
        <v>8.6999999999999994E-2</v>
      </c>
      <c r="U147">
        <v>8.6999999999999993</v>
      </c>
      <c r="V147">
        <v>23</v>
      </c>
      <c r="W147" s="12">
        <v>13.5</v>
      </c>
      <c r="X147" s="6">
        <v>376</v>
      </c>
      <c r="Y147" s="11">
        <f>VLOOKUP(B147,calculo!$C$5:$D$29,2,FALSE)</f>
        <v>0.19962361768845782</v>
      </c>
      <c r="Z147" s="11">
        <f>VLOOKUP(B147,calculo!$C$5:$E$29,3,FALSE)</f>
        <v>0.24464551953594671</v>
      </c>
      <c r="AA147" s="12">
        <f t="shared" si="8"/>
        <v>396.17977528089887</v>
      </c>
    </row>
    <row r="148" spans="1:27">
      <c r="A148">
        <v>2012</v>
      </c>
      <c r="B148" s="13" t="s">
        <v>49</v>
      </c>
      <c r="C148" s="13" t="s">
        <v>28</v>
      </c>
      <c r="D148" s="12">
        <v>21.15</v>
      </c>
      <c r="E148" s="17">
        <f t="shared" si="6"/>
        <v>21150</v>
      </c>
      <c r="F148" s="12">
        <v>1397.8</v>
      </c>
      <c r="G148" s="7">
        <v>34.4</v>
      </c>
      <c r="H148" s="7">
        <v>107.3</v>
      </c>
      <c r="I148" s="12">
        <v>119</v>
      </c>
      <c r="J148" s="13" t="s">
        <v>34</v>
      </c>
      <c r="K148" s="13" t="s">
        <v>30</v>
      </c>
      <c r="L148">
        <v>7</v>
      </c>
      <c r="M148">
        <v>1694</v>
      </c>
      <c r="N148" s="15">
        <f>O148/100</f>
        <v>0.79599999999999993</v>
      </c>
      <c r="O148" s="14">
        <v>79.599999999999994</v>
      </c>
      <c r="P148">
        <v>48.3</v>
      </c>
      <c r="Q148">
        <v>0.09</v>
      </c>
      <c r="R148">
        <v>0.22</v>
      </c>
      <c r="S148">
        <v>0</v>
      </c>
      <c r="T148" s="15">
        <f t="shared" si="7"/>
        <v>0.154</v>
      </c>
      <c r="U148">
        <v>15.4</v>
      </c>
      <c r="V148">
        <v>26</v>
      </c>
      <c r="W148" s="12">
        <v>1.5</v>
      </c>
      <c r="X148" s="6">
        <v>414</v>
      </c>
      <c r="Y148" s="11">
        <f>VLOOKUP(B148,calculo!$C$5:$D$29,2,FALSE)</f>
        <v>0.19962361768845782</v>
      </c>
      <c r="Z148" s="11">
        <f>VLOOKUP(B148,calculo!$C$5:$E$29,3,FALSE)</f>
        <v>0.24464551953594671</v>
      </c>
      <c r="AA148" s="12">
        <f t="shared" si="8"/>
        <v>614.82558139534888</v>
      </c>
    </row>
    <row r="149" spans="1:27">
      <c r="A149">
        <v>2013</v>
      </c>
      <c r="B149" s="13" t="s">
        <v>49</v>
      </c>
      <c r="C149" s="13" t="s">
        <v>28</v>
      </c>
      <c r="D149" s="12">
        <v>25.37</v>
      </c>
      <c r="E149" s="17">
        <f t="shared" si="6"/>
        <v>25370</v>
      </c>
      <c r="F149" s="12">
        <v>1745.8</v>
      </c>
      <c r="G149" s="7">
        <v>22.6</v>
      </c>
      <c r="H149" s="7">
        <v>69.400000000000006</v>
      </c>
      <c r="I149" s="12">
        <v>96.5</v>
      </c>
      <c r="J149" s="13" t="s">
        <v>31</v>
      </c>
      <c r="K149" s="13" t="s">
        <v>36</v>
      </c>
      <c r="L149">
        <v>90</v>
      </c>
      <c r="M149">
        <v>25470</v>
      </c>
      <c r="N149" s="15">
        <f>O149/100</f>
        <v>0.505</v>
      </c>
      <c r="O149" s="14">
        <v>50.5</v>
      </c>
      <c r="P149">
        <v>81.2</v>
      </c>
      <c r="Q149">
        <v>0.14000000000000001</v>
      </c>
      <c r="R149">
        <v>0.28000000000000003</v>
      </c>
      <c r="S149">
        <v>0</v>
      </c>
      <c r="T149" s="15">
        <f t="shared" si="7"/>
        <v>0.17899999999999999</v>
      </c>
      <c r="U149">
        <v>17.899999999999999</v>
      </c>
      <c r="V149">
        <v>29</v>
      </c>
      <c r="W149" s="12">
        <v>30.6</v>
      </c>
      <c r="X149" s="6">
        <v>446</v>
      </c>
      <c r="Y149" s="11">
        <f>VLOOKUP(B149,calculo!$C$5:$D$29,2,FALSE)</f>
        <v>0.19962361768845782</v>
      </c>
      <c r="Z149" s="11">
        <f>VLOOKUP(B149,calculo!$C$5:$E$29,3,FALSE)</f>
        <v>0.24464551953594671</v>
      </c>
      <c r="AA149" s="12">
        <f t="shared" si="8"/>
        <v>1122.5663716814158</v>
      </c>
    </row>
    <row r="150" spans="1:27">
      <c r="A150">
        <v>2014</v>
      </c>
      <c r="B150" s="13" t="s">
        <v>49</v>
      </c>
      <c r="C150" s="13" t="s">
        <v>28</v>
      </c>
      <c r="D150" s="12">
        <v>30.44</v>
      </c>
      <c r="E150" s="17">
        <f t="shared" si="6"/>
        <v>30440</v>
      </c>
      <c r="F150" s="12">
        <v>1975.2</v>
      </c>
      <c r="G150" s="7">
        <v>19.7</v>
      </c>
      <c r="H150" s="7">
        <v>64.2</v>
      </c>
      <c r="I150" s="12">
        <v>149.6</v>
      </c>
      <c r="J150" s="13" t="s">
        <v>31</v>
      </c>
      <c r="K150" s="13" t="s">
        <v>30</v>
      </c>
      <c r="L150">
        <v>8</v>
      </c>
      <c r="M150">
        <v>1280</v>
      </c>
      <c r="N150" s="15">
        <f>O150/100</f>
        <v>0.89900000000000002</v>
      </c>
      <c r="O150" s="14">
        <v>89.9</v>
      </c>
      <c r="P150">
        <v>69.5</v>
      </c>
      <c r="Q150">
        <v>0.03</v>
      </c>
      <c r="R150">
        <v>0.34</v>
      </c>
      <c r="S150">
        <v>0</v>
      </c>
      <c r="T150" s="15">
        <f t="shared" si="7"/>
        <v>0.14499999999999999</v>
      </c>
      <c r="U150">
        <v>14.5</v>
      </c>
      <c r="V150">
        <v>32</v>
      </c>
      <c r="W150" s="12">
        <v>2.1</v>
      </c>
      <c r="X150" s="6">
        <v>302</v>
      </c>
      <c r="Y150" s="11">
        <f>VLOOKUP(B150,calculo!$C$5:$D$29,2,FALSE)</f>
        <v>0.19962361768845782</v>
      </c>
      <c r="Z150" s="11">
        <f>VLOOKUP(B150,calculo!$C$5:$E$29,3,FALSE)</f>
        <v>0.24464551953594671</v>
      </c>
      <c r="AA150" s="12">
        <f t="shared" si="8"/>
        <v>1545.1776649746193</v>
      </c>
    </row>
    <row r="151" spans="1:27">
      <c r="A151">
        <v>2015</v>
      </c>
      <c r="B151" s="13" t="s">
        <v>49</v>
      </c>
      <c r="C151" s="13" t="s">
        <v>28</v>
      </c>
      <c r="D151" s="12">
        <v>36.520000000000003</v>
      </c>
      <c r="E151" s="17">
        <f t="shared" si="6"/>
        <v>36520</v>
      </c>
      <c r="F151" s="12">
        <v>3241.5</v>
      </c>
      <c r="G151" s="7">
        <v>25.3</v>
      </c>
      <c r="H151" s="7">
        <v>82.3</v>
      </c>
      <c r="I151" s="12">
        <v>91.2</v>
      </c>
      <c r="J151" s="13" t="s">
        <v>33</v>
      </c>
      <c r="K151" s="13" t="s">
        <v>32</v>
      </c>
      <c r="L151">
        <v>7</v>
      </c>
      <c r="M151">
        <v>1855</v>
      </c>
      <c r="N151" s="15">
        <f>O151/100</f>
        <v>0.81599999999999995</v>
      </c>
      <c r="O151" s="14">
        <v>81.599999999999994</v>
      </c>
      <c r="P151">
        <v>29</v>
      </c>
      <c r="Q151">
        <v>0.08</v>
      </c>
      <c r="R151">
        <v>0.4</v>
      </c>
      <c r="S151">
        <v>0</v>
      </c>
      <c r="T151" s="15">
        <f t="shared" si="7"/>
        <v>0.17499999999999999</v>
      </c>
      <c r="U151">
        <v>17.5</v>
      </c>
      <c r="V151">
        <v>35</v>
      </c>
      <c r="W151" s="12">
        <v>1.2</v>
      </c>
      <c r="X151" s="6">
        <v>33</v>
      </c>
      <c r="Y151" s="11">
        <f>VLOOKUP(B151,calculo!$C$5:$D$29,2,FALSE)</f>
        <v>0.19962361768845782</v>
      </c>
      <c r="Z151" s="11">
        <f>VLOOKUP(B151,calculo!$C$5:$E$29,3,FALSE)</f>
        <v>0.24464551953594671</v>
      </c>
      <c r="AA151" s="12">
        <f t="shared" si="8"/>
        <v>1443.4782608695652</v>
      </c>
    </row>
    <row r="152" spans="1:27">
      <c r="A152">
        <v>2016</v>
      </c>
      <c r="B152" s="13" t="s">
        <v>49</v>
      </c>
      <c r="C152" s="13" t="s">
        <v>28</v>
      </c>
      <c r="D152" s="12">
        <v>43.81</v>
      </c>
      <c r="E152" s="17">
        <f t="shared" si="6"/>
        <v>43810</v>
      </c>
      <c r="F152" s="12">
        <v>3372.4</v>
      </c>
      <c r="G152" s="7">
        <v>49.9</v>
      </c>
      <c r="H152" s="7">
        <v>124.5</v>
      </c>
      <c r="I152" s="12">
        <v>39.200000000000003</v>
      </c>
      <c r="J152" s="13" t="s">
        <v>33</v>
      </c>
      <c r="K152" s="13" t="s">
        <v>30</v>
      </c>
      <c r="L152">
        <v>26</v>
      </c>
      <c r="M152">
        <v>5226</v>
      </c>
      <c r="N152" s="15">
        <f>O152/100</f>
        <v>0.59399999999999997</v>
      </c>
      <c r="O152" s="14">
        <v>59.4</v>
      </c>
      <c r="P152">
        <v>86.9</v>
      </c>
      <c r="Q152">
        <v>0.23</v>
      </c>
      <c r="R152">
        <v>0.46</v>
      </c>
      <c r="S152">
        <v>0</v>
      </c>
      <c r="T152" s="15">
        <f t="shared" si="7"/>
        <v>0.21199999999999999</v>
      </c>
      <c r="U152">
        <v>21.2</v>
      </c>
      <c r="V152">
        <v>38</v>
      </c>
      <c r="W152" s="12">
        <v>6.1</v>
      </c>
      <c r="X152" s="6">
        <v>28</v>
      </c>
      <c r="Y152" s="11">
        <f>VLOOKUP(B152,calculo!$C$5:$D$29,2,FALSE)</f>
        <v>0.19962361768845782</v>
      </c>
      <c r="Z152" s="11">
        <f>VLOOKUP(B152,calculo!$C$5:$E$29,3,FALSE)</f>
        <v>0.24464551953594671</v>
      </c>
      <c r="AA152" s="12">
        <f t="shared" si="8"/>
        <v>877.95591182364728</v>
      </c>
    </row>
    <row r="153" spans="1:27">
      <c r="A153">
        <v>2017</v>
      </c>
      <c r="B153" s="13" t="s">
        <v>49</v>
      </c>
      <c r="C153" s="13" t="s">
        <v>28</v>
      </c>
      <c r="D153" s="12">
        <v>52.55</v>
      </c>
      <c r="E153" s="17">
        <f t="shared" si="6"/>
        <v>52550</v>
      </c>
      <c r="F153" s="12">
        <v>4352.3999999999996</v>
      </c>
      <c r="G153" s="7">
        <v>27.2</v>
      </c>
      <c r="H153" s="7">
        <v>45.6</v>
      </c>
      <c r="I153" s="12">
        <v>56.5</v>
      </c>
      <c r="J153" s="13" t="s">
        <v>31</v>
      </c>
      <c r="K153" s="13" t="s">
        <v>30</v>
      </c>
      <c r="L153">
        <v>96</v>
      </c>
      <c r="M153">
        <v>9216</v>
      </c>
      <c r="N153" s="15">
        <f>O153/100</f>
        <v>0.78900000000000003</v>
      </c>
      <c r="O153" s="14">
        <v>78.900000000000006</v>
      </c>
      <c r="P153">
        <v>56.6</v>
      </c>
      <c r="Q153">
        <v>0.2</v>
      </c>
      <c r="R153">
        <v>0.52</v>
      </c>
      <c r="S153">
        <v>0</v>
      </c>
      <c r="T153" s="15">
        <f t="shared" si="7"/>
        <v>0.21299999999999999</v>
      </c>
      <c r="U153">
        <v>21.3</v>
      </c>
      <c r="V153">
        <v>41</v>
      </c>
      <c r="W153" s="12">
        <v>38.4</v>
      </c>
      <c r="X153" s="6">
        <v>269</v>
      </c>
      <c r="Y153" s="11">
        <f>VLOOKUP(B153,calculo!$C$5:$D$29,2,FALSE)</f>
        <v>0.19962361768845782</v>
      </c>
      <c r="Z153" s="11">
        <f>VLOOKUP(B153,calculo!$C$5:$E$29,3,FALSE)</f>
        <v>0.24464551953594671</v>
      </c>
      <c r="AA153" s="12">
        <f t="shared" si="8"/>
        <v>1931.9852941176471</v>
      </c>
    </row>
    <row r="154" spans="1:27">
      <c r="A154">
        <v>2018</v>
      </c>
      <c r="B154" s="13" t="s">
        <v>49</v>
      </c>
      <c r="C154" s="13" t="s">
        <v>28</v>
      </c>
      <c r="D154" s="12">
        <v>63.04</v>
      </c>
      <c r="E154" s="17">
        <f t="shared" si="6"/>
        <v>63040</v>
      </c>
      <c r="F154" s="12">
        <v>7476.5</v>
      </c>
      <c r="G154" s="7">
        <v>59.5</v>
      </c>
      <c r="H154" s="7">
        <v>178.1</v>
      </c>
      <c r="I154" s="12">
        <v>118.8</v>
      </c>
      <c r="J154" s="13" t="s">
        <v>31</v>
      </c>
      <c r="K154" s="13" t="s">
        <v>36</v>
      </c>
      <c r="L154">
        <v>94</v>
      </c>
      <c r="M154">
        <v>18142</v>
      </c>
      <c r="N154" s="15">
        <f>O154/100</f>
        <v>0.94099999999999995</v>
      </c>
      <c r="O154" s="14">
        <v>94.1</v>
      </c>
      <c r="P154">
        <v>37.4</v>
      </c>
      <c r="Q154">
        <v>0.27</v>
      </c>
      <c r="R154">
        <v>0.57999999999999996</v>
      </c>
      <c r="S154">
        <v>0</v>
      </c>
      <c r="T154" s="15">
        <f t="shared" si="7"/>
        <v>0.23300000000000001</v>
      </c>
      <c r="U154">
        <v>23.3</v>
      </c>
      <c r="V154">
        <v>44</v>
      </c>
      <c r="W154" s="12">
        <v>18.899999999999999</v>
      </c>
      <c r="X154" s="6">
        <v>116</v>
      </c>
      <c r="Y154" s="11">
        <f>VLOOKUP(B154,calculo!$C$5:$D$29,2,FALSE)</f>
        <v>0.19962361768845782</v>
      </c>
      <c r="Z154" s="11">
        <f>VLOOKUP(B154,calculo!$C$5:$E$29,3,FALSE)</f>
        <v>0.24464551953594671</v>
      </c>
      <c r="AA154" s="12">
        <f t="shared" si="8"/>
        <v>1059.4957983193278</v>
      </c>
    </row>
    <row r="155" spans="1:27">
      <c r="A155">
        <v>2019</v>
      </c>
      <c r="B155" s="13" t="s">
        <v>49</v>
      </c>
      <c r="C155" s="13" t="s">
        <v>28</v>
      </c>
      <c r="D155" s="12">
        <v>75.63</v>
      </c>
      <c r="E155" s="17">
        <f t="shared" si="6"/>
        <v>75630</v>
      </c>
      <c r="F155" s="12">
        <v>6040.8</v>
      </c>
      <c r="G155" s="7">
        <v>56.6</v>
      </c>
      <c r="H155" s="7">
        <v>114.2</v>
      </c>
      <c r="I155" s="12">
        <v>81.599999999999994</v>
      </c>
      <c r="J155" s="13" t="s">
        <v>29</v>
      </c>
      <c r="K155" s="13" t="s">
        <v>36</v>
      </c>
      <c r="L155">
        <v>119</v>
      </c>
      <c r="M155">
        <v>14042</v>
      </c>
      <c r="N155" s="15">
        <f>O155/100</f>
        <v>0.69599999999999995</v>
      </c>
      <c r="O155" s="14">
        <v>69.599999999999994</v>
      </c>
      <c r="P155">
        <v>95.3</v>
      </c>
      <c r="Q155">
        <v>0.43</v>
      </c>
      <c r="R155">
        <v>0.64</v>
      </c>
      <c r="S155">
        <v>0</v>
      </c>
      <c r="T155" s="15">
        <f t="shared" si="7"/>
        <v>0.215</v>
      </c>
      <c r="U155">
        <v>21.5</v>
      </c>
      <c r="V155">
        <v>47</v>
      </c>
      <c r="W155" s="12">
        <v>42.9</v>
      </c>
      <c r="X155" s="6">
        <v>365</v>
      </c>
      <c r="Y155" s="11">
        <f>VLOOKUP(B155,calculo!$C$5:$D$29,2,FALSE)</f>
        <v>0.19962361768845782</v>
      </c>
      <c r="Z155" s="11">
        <f>VLOOKUP(B155,calculo!$C$5:$E$29,3,FALSE)</f>
        <v>0.24464551953594671</v>
      </c>
      <c r="AA155" s="12">
        <f t="shared" si="8"/>
        <v>1336.2190812720848</v>
      </c>
    </row>
    <row r="156" spans="1:27">
      <c r="A156">
        <v>2020</v>
      </c>
      <c r="B156" s="13" t="s">
        <v>49</v>
      </c>
      <c r="C156" s="13" t="s">
        <v>28</v>
      </c>
      <c r="D156" s="12">
        <v>90.73</v>
      </c>
      <c r="E156" s="17">
        <f t="shared" si="6"/>
        <v>90730</v>
      </c>
      <c r="F156" s="12">
        <v>9040.7999999999993</v>
      </c>
      <c r="G156" s="7">
        <v>27.3</v>
      </c>
      <c r="H156" s="7">
        <v>80.900000000000006</v>
      </c>
      <c r="I156" s="12">
        <v>121.9</v>
      </c>
      <c r="J156" s="13" t="s">
        <v>31</v>
      </c>
      <c r="K156" s="13" t="s">
        <v>36</v>
      </c>
      <c r="L156">
        <v>58</v>
      </c>
      <c r="M156">
        <v>12934</v>
      </c>
      <c r="N156" s="15">
        <f>O156/100</f>
        <v>0.83799999999999997</v>
      </c>
      <c r="O156" s="14">
        <v>83.8</v>
      </c>
      <c r="P156">
        <v>74.3</v>
      </c>
      <c r="Q156">
        <v>0.51</v>
      </c>
      <c r="R156">
        <v>0.95</v>
      </c>
      <c r="S156">
        <v>0.25</v>
      </c>
      <c r="T156" s="15">
        <f t="shared" si="7"/>
        <v>0.25900000000000001</v>
      </c>
      <c r="U156">
        <v>25.9</v>
      </c>
      <c r="V156">
        <v>50</v>
      </c>
      <c r="W156" s="12">
        <v>17.5</v>
      </c>
      <c r="X156" s="6">
        <v>45</v>
      </c>
      <c r="Y156" s="11">
        <f>VLOOKUP(B156,calculo!$C$5:$D$29,2,FALSE)</f>
        <v>0.19962361768845782</v>
      </c>
      <c r="Z156" s="11">
        <f>VLOOKUP(B156,calculo!$C$5:$E$29,3,FALSE)</f>
        <v>0.24464551953594671</v>
      </c>
      <c r="AA156" s="12">
        <f t="shared" si="8"/>
        <v>3323.4432234432234</v>
      </c>
    </row>
    <row r="157" spans="1:27">
      <c r="A157">
        <v>2021</v>
      </c>
      <c r="B157" s="13" t="s">
        <v>49</v>
      </c>
      <c r="C157" s="13" t="s">
        <v>28</v>
      </c>
      <c r="D157" s="12">
        <v>108.84</v>
      </c>
      <c r="E157" s="17">
        <f t="shared" si="6"/>
        <v>108840</v>
      </c>
      <c r="F157" s="12">
        <v>16052.5</v>
      </c>
      <c r="G157" s="7">
        <v>23.5</v>
      </c>
      <c r="H157" s="7">
        <v>55.5</v>
      </c>
      <c r="I157" s="12">
        <v>131.4</v>
      </c>
      <c r="J157" s="13" t="s">
        <v>31</v>
      </c>
      <c r="K157" s="13" t="s">
        <v>32</v>
      </c>
      <c r="L157">
        <v>74</v>
      </c>
      <c r="M157">
        <v>6882</v>
      </c>
      <c r="N157" s="15">
        <f>O157/100</f>
        <v>0.52800000000000002</v>
      </c>
      <c r="O157" s="14">
        <v>52.8</v>
      </c>
      <c r="P157">
        <v>93</v>
      </c>
      <c r="Q157">
        <v>0.62</v>
      </c>
      <c r="R157">
        <v>0.97</v>
      </c>
      <c r="S157">
        <v>0.21</v>
      </c>
      <c r="T157" s="15">
        <f t="shared" si="7"/>
        <v>0.26899999999999996</v>
      </c>
      <c r="U157">
        <v>26.9</v>
      </c>
      <c r="V157">
        <v>53</v>
      </c>
      <c r="W157" s="12">
        <v>14</v>
      </c>
      <c r="X157" s="6">
        <v>450</v>
      </c>
      <c r="Y157" s="11">
        <f>VLOOKUP(B157,calculo!$C$5:$D$29,2,FALSE)</f>
        <v>0.19962361768845782</v>
      </c>
      <c r="Z157" s="11">
        <f>VLOOKUP(B157,calculo!$C$5:$E$29,3,FALSE)</f>
        <v>0.24464551953594671</v>
      </c>
      <c r="AA157" s="12">
        <f t="shared" si="8"/>
        <v>4631.489361702128</v>
      </c>
    </row>
    <row r="158" spans="1:27">
      <c r="A158">
        <v>2022</v>
      </c>
      <c r="B158" s="13" t="s">
        <v>49</v>
      </c>
      <c r="C158" s="13" t="s">
        <v>28</v>
      </c>
      <c r="D158" s="12">
        <v>130.57</v>
      </c>
      <c r="E158" s="17">
        <f t="shared" si="6"/>
        <v>130570</v>
      </c>
      <c r="F158" s="12">
        <v>16606.900000000001</v>
      </c>
      <c r="G158" s="7">
        <v>7</v>
      </c>
      <c r="H158" s="7">
        <v>13.8</v>
      </c>
      <c r="I158" s="12">
        <v>117.9</v>
      </c>
      <c r="J158" s="13" t="s">
        <v>29</v>
      </c>
      <c r="K158" s="13" t="s">
        <v>30</v>
      </c>
      <c r="L158">
        <v>79</v>
      </c>
      <c r="M158">
        <v>15563</v>
      </c>
      <c r="N158" s="15">
        <f>O158/100</f>
        <v>0.873</v>
      </c>
      <c r="O158" s="14">
        <v>87.3</v>
      </c>
      <c r="P158">
        <v>84.1</v>
      </c>
      <c r="Q158">
        <v>0.59</v>
      </c>
      <c r="R158">
        <v>0.82</v>
      </c>
      <c r="S158">
        <v>0</v>
      </c>
      <c r="T158" s="15">
        <f t="shared" si="7"/>
        <v>0.27800000000000002</v>
      </c>
      <c r="U158">
        <v>27.8</v>
      </c>
      <c r="V158">
        <v>56</v>
      </c>
      <c r="W158" s="12">
        <v>14.4</v>
      </c>
      <c r="X158" s="6">
        <v>151</v>
      </c>
      <c r="Y158" s="11">
        <f>VLOOKUP(B158,calculo!$C$5:$D$29,2,FALSE)</f>
        <v>0.19962361768845782</v>
      </c>
      <c r="Z158" s="11">
        <f>VLOOKUP(B158,calculo!$C$5:$E$29,3,FALSE)</f>
        <v>0.24464551953594671</v>
      </c>
      <c r="AA158" s="12">
        <f t="shared" si="8"/>
        <v>18652.857142857141</v>
      </c>
    </row>
    <row r="159" spans="1:27">
      <c r="A159">
        <v>2023</v>
      </c>
      <c r="B159" s="13" t="s">
        <v>49</v>
      </c>
      <c r="C159" s="13" t="s">
        <v>28</v>
      </c>
      <c r="D159" s="12">
        <v>156.63999999999999</v>
      </c>
      <c r="E159" s="17">
        <f t="shared" si="6"/>
        <v>156640</v>
      </c>
      <c r="F159" s="12">
        <v>10934.9</v>
      </c>
      <c r="G159" s="7">
        <v>34.799999999999997</v>
      </c>
      <c r="H159" s="7">
        <v>84.5</v>
      </c>
      <c r="I159" s="12">
        <v>146.6</v>
      </c>
      <c r="J159" s="13" t="s">
        <v>35</v>
      </c>
      <c r="K159" s="13" t="s">
        <v>30</v>
      </c>
      <c r="L159">
        <v>16</v>
      </c>
      <c r="M159">
        <v>4768</v>
      </c>
      <c r="N159" s="15">
        <f>O159/100</f>
        <v>0.82400000000000007</v>
      </c>
      <c r="O159" s="14">
        <v>82.4</v>
      </c>
      <c r="P159">
        <v>56.3</v>
      </c>
      <c r="Q159">
        <v>0.78</v>
      </c>
      <c r="R159">
        <v>0.88</v>
      </c>
      <c r="S159">
        <v>0</v>
      </c>
      <c r="T159" s="15">
        <f t="shared" si="7"/>
        <v>0.29199999999999998</v>
      </c>
      <c r="U159">
        <v>29.2</v>
      </c>
      <c r="V159">
        <v>59</v>
      </c>
      <c r="W159" s="12">
        <v>3.1</v>
      </c>
      <c r="X159" s="6">
        <v>336</v>
      </c>
      <c r="Y159" s="11">
        <f>VLOOKUP(B159,calculo!$C$5:$D$29,2,FALSE)</f>
        <v>0.19962361768845782</v>
      </c>
      <c r="Z159" s="11">
        <f>VLOOKUP(B159,calculo!$C$5:$E$29,3,FALSE)</f>
        <v>0.24464551953594671</v>
      </c>
      <c r="AA159" s="12">
        <f t="shared" si="8"/>
        <v>4501.1494252873563</v>
      </c>
    </row>
    <row r="160" spans="1:27">
      <c r="A160">
        <v>2024</v>
      </c>
      <c r="B160" s="13" t="s">
        <v>49</v>
      </c>
      <c r="C160" s="13" t="s">
        <v>28</v>
      </c>
      <c r="D160" s="12">
        <v>187.91</v>
      </c>
      <c r="E160" s="17">
        <f t="shared" si="6"/>
        <v>187910</v>
      </c>
      <c r="F160" s="12">
        <v>27820.400000000001</v>
      </c>
      <c r="G160" s="7">
        <v>15.2</v>
      </c>
      <c r="H160" s="7">
        <v>35.1</v>
      </c>
      <c r="I160" s="12">
        <v>95.1</v>
      </c>
      <c r="J160" s="13" t="s">
        <v>33</v>
      </c>
      <c r="K160" s="13" t="s">
        <v>30</v>
      </c>
      <c r="L160">
        <v>43</v>
      </c>
      <c r="M160">
        <v>5805</v>
      </c>
      <c r="N160" s="15">
        <f>O160/100</f>
        <v>0.60199999999999998</v>
      </c>
      <c r="O160" s="14">
        <v>60.2</v>
      </c>
      <c r="P160">
        <v>88.5</v>
      </c>
      <c r="Q160">
        <v>0.84</v>
      </c>
      <c r="R160">
        <v>0.94</v>
      </c>
      <c r="S160">
        <v>0</v>
      </c>
      <c r="T160" s="15">
        <f t="shared" si="7"/>
        <v>0.37200000000000005</v>
      </c>
      <c r="U160">
        <v>37.200000000000003</v>
      </c>
      <c r="V160">
        <v>62</v>
      </c>
      <c r="W160" s="12">
        <v>12.4</v>
      </c>
      <c r="X160" s="6">
        <v>339</v>
      </c>
      <c r="Y160" s="11">
        <f>VLOOKUP(B160,calculo!$C$5:$D$29,2,FALSE)</f>
        <v>0.19962361768845782</v>
      </c>
      <c r="Z160" s="11">
        <f>VLOOKUP(B160,calculo!$C$5:$E$29,3,FALSE)</f>
        <v>0.24464551953594671</v>
      </c>
      <c r="AA160" s="12">
        <f t="shared" si="8"/>
        <v>12362.5</v>
      </c>
    </row>
    <row r="161" spans="1:27">
      <c r="A161">
        <v>2025</v>
      </c>
      <c r="B161" s="13" t="s">
        <v>49</v>
      </c>
      <c r="C161" s="13" t="s">
        <v>28</v>
      </c>
      <c r="D161" s="12">
        <v>225.42</v>
      </c>
      <c r="E161" s="17">
        <f t="shared" si="6"/>
        <v>225420</v>
      </c>
      <c r="F161" s="12">
        <v>21692.5</v>
      </c>
      <c r="G161" s="7">
        <v>25.9</v>
      </c>
      <c r="H161" s="7">
        <v>72.5</v>
      </c>
      <c r="I161" s="12">
        <v>95.5</v>
      </c>
      <c r="J161" s="13" t="s">
        <v>31</v>
      </c>
      <c r="K161" s="13" t="s">
        <v>32</v>
      </c>
      <c r="L161">
        <v>92</v>
      </c>
      <c r="M161">
        <v>26496</v>
      </c>
      <c r="N161" s="15">
        <f>O161/100</f>
        <v>0.70700000000000007</v>
      </c>
      <c r="O161" s="14">
        <v>70.7</v>
      </c>
      <c r="P161">
        <v>28.9</v>
      </c>
      <c r="Q161">
        <v>0.92</v>
      </c>
      <c r="R161">
        <v>1</v>
      </c>
      <c r="S161">
        <v>0</v>
      </c>
      <c r="T161" s="15">
        <f t="shared" si="7"/>
        <v>0.36799999999999999</v>
      </c>
      <c r="U161">
        <v>36.799999999999997</v>
      </c>
      <c r="V161">
        <v>65</v>
      </c>
      <c r="W161" s="12">
        <v>25.6</v>
      </c>
      <c r="X161" s="6">
        <v>328</v>
      </c>
      <c r="Y161" s="11">
        <f>VLOOKUP(B161,calculo!$C$5:$D$29,2,FALSE)</f>
        <v>0.19962361768845782</v>
      </c>
      <c r="Z161" s="11">
        <f>VLOOKUP(B161,calculo!$C$5:$E$29,3,FALSE)</f>
        <v>0.24464551953594671</v>
      </c>
      <c r="AA161" s="12">
        <f t="shared" si="8"/>
        <v>8703.4749034749038</v>
      </c>
    </row>
    <row r="162" spans="1:27">
      <c r="A162">
        <v>2010</v>
      </c>
      <c r="B162" s="13" t="s">
        <v>50</v>
      </c>
      <c r="C162" s="13" t="s">
        <v>38</v>
      </c>
      <c r="D162" s="12">
        <v>7.96</v>
      </c>
      <c r="E162" s="17">
        <f t="shared" si="6"/>
        <v>7960</v>
      </c>
      <c r="F162" s="12">
        <v>1001.9</v>
      </c>
      <c r="G162" s="7">
        <v>45.7</v>
      </c>
      <c r="H162" s="7">
        <v>70.2</v>
      </c>
      <c r="I162" s="12">
        <v>45.2</v>
      </c>
      <c r="J162" s="13" t="s">
        <v>34</v>
      </c>
      <c r="K162" s="13" t="s">
        <v>36</v>
      </c>
      <c r="L162">
        <v>83</v>
      </c>
      <c r="M162">
        <v>21829</v>
      </c>
      <c r="N162" s="15">
        <f>O162/100</f>
        <v>0.70299999999999996</v>
      </c>
      <c r="O162" s="14">
        <v>70.3</v>
      </c>
      <c r="P162">
        <v>98.9</v>
      </c>
      <c r="Q162">
        <v>0.11</v>
      </c>
      <c r="R162">
        <v>0.1</v>
      </c>
      <c r="S162">
        <v>0</v>
      </c>
      <c r="T162" s="15">
        <f t="shared" si="7"/>
        <v>0.121</v>
      </c>
      <c r="U162">
        <v>12.1</v>
      </c>
      <c r="V162">
        <v>20</v>
      </c>
      <c r="W162" s="12">
        <v>15.8</v>
      </c>
      <c r="X162" s="6">
        <v>35</v>
      </c>
      <c r="Y162" s="11">
        <f>VLOOKUP(B162,calculo!$C$5:$D$29,2,FALSE)</f>
        <v>0.11797009325813268</v>
      </c>
      <c r="Z162" s="11">
        <f>VLOOKUP(B162,calculo!$C$5:$E$29,3,FALSE)</f>
        <v>0.12846891294234219</v>
      </c>
      <c r="AA162" s="12">
        <f t="shared" si="8"/>
        <v>174.17943107221006</v>
      </c>
    </row>
    <row r="163" spans="1:27">
      <c r="A163">
        <v>2011</v>
      </c>
      <c r="B163" s="13" t="s">
        <v>50</v>
      </c>
      <c r="C163" s="13" t="s">
        <v>38</v>
      </c>
      <c r="D163" s="12">
        <v>8.9</v>
      </c>
      <c r="E163" s="17">
        <f t="shared" si="6"/>
        <v>8900</v>
      </c>
      <c r="F163" s="12">
        <v>528.79999999999995</v>
      </c>
      <c r="G163" s="7">
        <v>21.9</v>
      </c>
      <c r="H163" s="7">
        <v>45.3</v>
      </c>
      <c r="I163" s="12">
        <v>76.900000000000006</v>
      </c>
      <c r="J163" s="13" t="s">
        <v>35</v>
      </c>
      <c r="K163" s="13" t="s">
        <v>32</v>
      </c>
      <c r="L163">
        <v>103</v>
      </c>
      <c r="M163">
        <v>5665</v>
      </c>
      <c r="N163" s="15">
        <f>O163/100</f>
        <v>0.67099999999999993</v>
      </c>
      <c r="O163" s="14">
        <v>67.099999999999994</v>
      </c>
      <c r="P163">
        <v>83.2</v>
      </c>
      <c r="Q163">
        <v>0.19</v>
      </c>
      <c r="R163">
        <v>0.16</v>
      </c>
      <c r="S163">
        <v>0</v>
      </c>
      <c r="T163" s="15">
        <f t="shared" si="7"/>
        <v>0.157</v>
      </c>
      <c r="U163">
        <v>15.7</v>
      </c>
      <c r="V163">
        <v>23</v>
      </c>
      <c r="W163" s="12">
        <v>25</v>
      </c>
      <c r="X163" s="6">
        <v>316</v>
      </c>
      <c r="Y163" s="11">
        <f>VLOOKUP(B163,calculo!$C$5:$D$29,2,FALSE)</f>
        <v>0.11797009325813268</v>
      </c>
      <c r="Z163" s="11">
        <f>VLOOKUP(B163,calculo!$C$5:$E$29,3,FALSE)</f>
        <v>0.12846891294234219</v>
      </c>
      <c r="AA163" s="12">
        <f t="shared" si="8"/>
        <v>406.39269406392697</v>
      </c>
    </row>
    <row r="164" spans="1:27">
      <c r="A164">
        <v>2012</v>
      </c>
      <c r="B164" s="13" t="s">
        <v>50</v>
      </c>
      <c r="C164" s="13" t="s">
        <v>38</v>
      </c>
      <c r="D164" s="12">
        <v>9.9499999999999993</v>
      </c>
      <c r="E164" s="17">
        <f t="shared" si="6"/>
        <v>9950</v>
      </c>
      <c r="F164" s="12">
        <v>591.1</v>
      </c>
      <c r="G164" s="7">
        <v>22.7</v>
      </c>
      <c r="H164" s="7">
        <v>68.400000000000006</v>
      </c>
      <c r="I164" s="12">
        <v>63.2</v>
      </c>
      <c r="J164" s="13" t="s">
        <v>33</v>
      </c>
      <c r="K164" s="13" t="s">
        <v>30</v>
      </c>
      <c r="L164">
        <v>76</v>
      </c>
      <c r="M164">
        <v>7904</v>
      </c>
      <c r="N164" s="15">
        <f>O164/100</f>
        <v>0.70099999999999996</v>
      </c>
      <c r="O164" s="14">
        <v>70.099999999999994</v>
      </c>
      <c r="P164">
        <v>66.8</v>
      </c>
      <c r="Q164">
        <v>7.0000000000000007E-2</v>
      </c>
      <c r="R164">
        <v>0.22</v>
      </c>
      <c r="S164">
        <v>0</v>
      </c>
      <c r="T164" s="15">
        <f t="shared" si="7"/>
        <v>0.12300000000000001</v>
      </c>
      <c r="U164">
        <v>12.3</v>
      </c>
      <c r="V164">
        <v>26</v>
      </c>
      <c r="W164" s="12">
        <v>23.6</v>
      </c>
      <c r="X164" s="6">
        <v>395</v>
      </c>
      <c r="Y164" s="11">
        <f>VLOOKUP(B164,calculo!$C$5:$D$29,2,FALSE)</f>
        <v>0.11797009325813268</v>
      </c>
      <c r="Z164" s="11">
        <f>VLOOKUP(B164,calculo!$C$5:$E$29,3,FALSE)</f>
        <v>0.12846891294234219</v>
      </c>
      <c r="AA164" s="12">
        <f t="shared" si="8"/>
        <v>438.32599118942733</v>
      </c>
    </row>
    <row r="165" spans="1:27">
      <c r="A165">
        <v>2013</v>
      </c>
      <c r="B165" s="13" t="s">
        <v>50</v>
      </c>
      <c r="C165" s="13" t="s">
        <v>38</v>
      </c>
      <c r="D165" s="12">
        <v>11.12</v>
      </c>
      <c r="E165" s="17">
        <f t="shared" si="6"/>
        <v>11120</v>
      </c>
      <c r="F165" s="12">
        <v>1564.2</v>
      </c>
      <c r="G165" s="7">
        <v>18.100000000000001</v>
      </c>
      <c r="H165" s="7">
        <v>62.6</v>
      </c>
      <c r="I165" s="12">
        <v>46.9</v>
      </c>
      <c r="J165" s="13" t="s">
        <v>29</v>
      </c>
      <c r="K165" s="13" t="s">
        <v>32</v>
      </c>
      <c r="L165">
        <v>5</v>
      </c>
      <c r="M165">
        <v>1480</v>
      </c>
      <c r="N165" s="15">
        <f>O165/100</f>
        <v>0.6409999999999999</v>
      </c>
      <c r="O165" s="14">
        <v>64.099999999999994</v>
      </c>
      <c r="P165">
        <v>84.9</v>
      </c>
      <c r="Q165">
        <v>0.14000000000000001</v>
      </c>
      <c r="R165">
        <v>0.28000000000000003</v>
      </c>
      <c r="S165">
        <v>0</v>
      </c>
      <c r="T165" s="15">
        <f t="shared" si="7"/>
        <v>0.14099999999999999</v>
      </c>
      <c r="U165">
        <v>14.1</v>
      </c>
      <c r="V165">
        <v>29</v>
      </c>
      <c r="W165" s="12">
        <v>1</v>
      </c>
      <c r="X165" s="6">
        <v>375</v>
      </c>
      <c r="Y165" s="11">
        <f>VLOOKUP(B165,calculo!$C$5:$D$29,2,FALSE)</f>
        <v>0.11797009325813268</v>
      </c>
      <c r="Z165" s="11">
        <f>VLOOKUP(B165,calculo!$C$5:$E$29,3,FALSE)</f>
        <v>0.12846891294234219</v>
      </c>
      <c r="AA165" s="12">
        <f t="shared" si="8"/>
        <v>614.36464088397781</v>
      </c>
    </row>
    <row r="166" spans="1:27">
      <c r="A166">
        <v>2014</v>
      </c>
      <c r="B166" s="13" t="s">
        <v>50</v>
      </c>
      <c r="C166" s="13" t="s">
        <v>38</v>
      </c>
      <c r="D166" s="12">
        <v>12.44</v>
      </c>
      <c r="E166" s="17">
        <f t="shared" si="6"/>
        <v>12440</v>
      </c>
      <c r="F166" s="12">
        <v>1824.6</v>
      </c>
      <c r="G166" s="7">
        <v>26.2</v>
      </c>
      <c r="H166" s="7">
        <v>91</v>
      </c>
      <c r="I166" s="12">
        <v>110.2</v>
      </c>
      <c r="J166" s="13" t="s">
        <v>33</v>
      </c>
      <c r="K166" s="13" t="s">
        <v>32</v>
      </c>
      <c r="L166">
        <v>17</v>
      </c>
      <c r="M166">
        <v>3587</v>
      </c>
      <c r="N166" s="15">
        <f>O166/100</f>
        <v>0.79500000000000004</v>
      </c>
      <c r="O166" s="14">
        <v>79.5</v>
      </c>
      <c r="P166">
        <v>34.700000000000003</v>
      </c>
      <c r="Q166">
        <v>0.1</v>
      </c>
      <c r="R166">
        <v>0.34</v>
      </c>
      <c r="S166">
        <v>0</v>
      </c>
      <c r="T166" s="15">
        <f t="shared" si="7"/>
        <v>0.19500000000000001</v>
      </c>
      <c r="U166">
        <v>19.5</v>
      </c>
      <c r="V166">
        <v>32</v>
      </c>
      <c r="W166" s="12">
        <v>3.3</v>
      </c>
      <c r="X166" s="6">
        <v>334</v>
      </c>
      <c r="Y166" s="11">
        <f>VLOOKUP(B166,calculo!$C$5:$D$29,2,FALSE)</f>
        <v>0.11797009325813268</v>
      </c>
      <c r="Z166" s="11">
        <f>VLOOKUP(B166,calculo!$C$5:$E$29,3,FALSE)</f>
        <v>0.12846891294234219</v>
      </c>
      <c r="AA166" s="12">
        <f t="shared" si="8"/>
        <v>474.80916030534354</v>
      </c>
    </row>
    <row r="167" spans="1:27">
      <c r="A167">
        <v>2015</v>
      </c>
      <c r="B167" s="13" t="s">
        <v>50</v>
      </c>
      <c r="C167" s="13" t="s">
        <v>38</v>
      </c>
      <c r="D167" s="12">
        <v>13.9</v>
      </c>
      <c r="E167" s="17">
        <f t="shared" si="6"/>
        <v>13900</v>
      </c>
      <c r="F167" s="12">
        <v>1695.3</v>
      </c>
      <c r="G167" s="7">
        <v>53.6</v>
      </c>
      <c r="H167" s="7">
        <v>89</v>
      </c>
      <c r="I167" s="12">
        <v>117.8</v>
      </c>
      <c r="J167" s="13" t="s">
        <v>31</v>
      </c>
      <c r="K167" s="13" t="s">
        <v>30</v>
      </c>
      <c r="L167">
        <v>65</v>
      </c>
      <c r="M167">
        <v>17485</v>
      </c>
      <c r="N167" s="15">
        <f>O167/100</f>
        <v>0.74299999999999999</v>
      </c>
      <c r="O167" s="14">
        <v>74.3</v>
      </c>
      <c r="P167">
        <v>78.3</v>
      </c>
      <c r="Q167">
        <v>0.16</v>
      </c>
      <c r="R167">
        <v>0.4</v>
      </c>
      <c r="S167">
        <v>0</v>
      </c>
      <c r="T167" s="15">
        <f t="shared" si="7"/>
        <v>0.23499999999999999</v>
      </c>
      <c r="U167">
        <v>23.5</v>
      </c>
      <c r="V167">
        <v>35</v>
      </c>
      <c r="W167" s="12">
        <v>23.7</v>
      </c>
      <c r="X167" s="6">
        <v>437</v>
      </c>
      <c r="Y167" s="11">
        <f>VLOOKUP(B167,calculo!$C$5:$D$29,2,FALSE)</f>
        <v>0.11797009325813268</v>
      </c>
      <c r="Z167" s="11">
        <f>VLOOKUP(B167,calculo!$C$5:$E$29,3,FALSE)</f>
        <v>0.12846891294234219</v>
      </c>
      <c r="AA167" s="12">
        <f t="shared" si="8"/>
        <v>259.32835820895519</v>
      </c>
    </row>
    <row r="168" spans="1:27">
      <c r="A168">
        <v>2016</v>
      </c>
      <c r="B168" s="13" t="s">
        <v>50</v>
      </c>
      <c r="C168" s="13" t="s">
        <v>38</v>
      </c>
      <c r="D168" s="12">
        <v>15.54</v>
      </c>
      <c r="E168" s="17">
        <f t="shared" si="6"/>
        <v>15540</v>
      </c>
      <c r="F168" s="12">
        <v>1172.5</v>
      </c>
      <c r="G168" s="7">
        <v>49.5</v>
      </c>
      <c r="H168" s="7">
        <v>161.4</v>
      </c>
      <c r="I168" s="12">
        <v>93.1</v>
      </c>
      <c r="J168" s="13" t="s">
        <v>33</v>
      </c>
      <c r="K168" s="13" t="s">
        <v>30</v>
      </c>
      <c r="L168">
        <v>116</v>
      </c>
      <c r="M168">
        <v>8120</v>
      </c>
      <c r="N168" s="15">
        <f>O168/100</f>
        <v>0.82400000000000007</v>
      </c>
      <c r="O168" s="14">
        <v>82.4</v>
      </c>
      <c r="P168">
        <v>56.5</v>
      </c>
      <c r="Q168">
        <v>0.11</v>
      </c>
      <c r="R168">
        <v>0.46</v>
      </c>
      <c r="S168">
        <v>0</v>
      </c>
      <c r="T168" s="15">
        <f t="shared" si="7"/>
        <v>0.222</v>
      </c>
      <c r="U168">
        <v>22.2</v>
      </c>
      <c r="V168">
        <v>38</v>
      </c>
      <c r="W168" s="12">
        <v>20.7</v>
      </c>
      <c r="X168" s="6">
        <v>43</v>
      </c>
      <c r="Y168" s="11">
        <f>VLOOKUP(B168,calculo!$C$5:$D$29,2,FALSE)</f>
        <v>0.11797009325813268</v>
      </c>
      <c r="Z168" s="11">
        <f>VLOOKUP(B168,calculo!$C$5:$E$29,3,FALSE)</f>
        <v>0.12846891294234219</v>
      </c>
      <c r="AA168" s="12">
        <f t="shared" si="8"/>
        <v>313.93939393939394</v>
      </c>
    </row>
    <row r="169" spans="1:27">
      <c r="A169">
        <v>2017</v>
      </c>
      <c r="B169" s="13" t="s">
        <v>50</v>
      </c>
      <c r="C169" s="13" t="s">
        <v>38</v>
      </c>
      <c r="D169" s="12">
        <v>17.38</v>
      </c>
      <c r="E169" s="17">
        <f t="shared" si="6"/>
        <v>17380</v>
      </c>
      <c r="F169" s="12">
        <v>2170.1</v>
      </c>
      <c r="G169" s="7">
        <v>39.799999999999997</v>
      </c>
      <c r="H169" s="7">
        <v>109</v>
      </c>
      <c r="I169" s="12">
        <v>72.3</v>
      </c>
      <c r="J169" s="13" t="s">
        <v>34</v>
      </c>
      <c r="K169" s="13" t="s">
        <v>32</v>
      </c>
      <c r="L169">
        <v>73</v>
      </c>
      <c r="M169">
        <v>11461</v>
      </c>
      <c r="N169" s="15">
        <f>O169/100</f>
        <v>0.51400000000000001</v>
      </c>
      <c r="O169" s="14">
        <v>51.4</v>
      </c>
      <c r="P169">
        <v>80.400000000000006</v>
      </c>
      <c r="Q169">
        <v>0.23</v>
      </c>
      <c r="R169">
        <v>0.52</v>
      </c>
      <c r="S169">
        <v>0</v>
      </c>
      <c r="T169" s="15">
        <f t="shared" si="7"/>
        <v>0.17600000000000002</v>
      </c>
      <c r="U169">
        <v>17.600000000000001</v>
      </c>
      <c r="V169">
        <v>41</v>
      </c>
      <c r="W169" s="12">
        <v>19.600000000000001</v>
      </c>
      <c r="X169" s="6">
        <v>427</v>
      </c>
      <c r="Y169" s="11">
        <f>VLOOKUP(B169,calculo!$C$5:$D$29,2,FALSE)</f>
        <v>0.11797009325813268</v>
      </c>
      <c r="Z169" s="11">
        <f>VLOOKUP(B169,calculo!$C$5:$E$29,3,FALSE)</f>
        <v>0.12846891294234219</v>
      </c>
      <c r="AA169" s="12">
        <f t="shared" si="8"/>
        <v>436.68341708542715</v>
      </c>
    </row>
    <row r="170" spans="1:27">
      <c r="A170">
        <v>2018</v>
      </c>
      <c r="B170" s="13" t="s">
        <v>50</v>
      </c>
      <c r="C170" s="13" t="s">
        <v>38</v>
      </c>
      <c r="D170" s="12">
        <v>19.43</v>
      </c>
      <c r="E170" s="17">
        <f t="shared" si="6"/>
        <v>19430</v>
      </c>
      <c r="F170" s="12">
        <v>1106.5999999999999</v>
      </c>
      <c r="G170" s="7">
        <v>12.1</v>
      </c>
      <c r="H170" s="7">
        <v>39</v>
      </c>
      <c r="I170" s="12">
        <v>57.3</v>
      </c>
      <c r="J170" s="13" t="s">
        <v>34</v>
      </c>
      <c r="K170" s="13" t="s">
        <v>30</v>
      </c>
      <c r="L170">
        <v>76</v>
      </c>
      <c r="M170">
        <v>22496</v>
      </c>
      <c r="N170" s="15">
        <f>O170/100</f>
        <v>0.73099999999999998</v>
      </c>
      <c r="O170" s="14">
        <v>73.099999999999994</v>
      </c>
      <c r="P170">
        <v>47.9</v>
      </c>
      <c r="Q170">
        <v>0.4</v>
      </c>
      <c r="R170">
        <v>0.57999999999999996</v>
      </c>
      <c r="S170">
        <v>0</v>
      </c>
      <c r="T170" s="15">
        <f t="shared" si="7"/>
        <v>0.21100000000000002</v>
      </c>
      <c r="U170">
        <v>21.1</v>
      </c>
      <c r="V170">
        <v>44</v>
      </c>
      <c r="W170" s="12">
        <v>16.7</v>
      </c>
      <c r="X170" s="6">
        <v>200</v>
      </c>
      <c r="Y170" s="11">
        <f>VLOOKUP(B170,calculo!$C$5:$D$29,2,FALSE)</f>
        <v>0.11797009325813268</v>
      </c>
      <c r="Z170" s="11">
        <f>VLOOKUP(B170,calculo!$C$5:$E$29,3,FALSE)</f>
        <v>0.12846891294234219</v>
      </c>
      <c r="AA170" s="12">
        <f t="shared" si="8"/>
        <v>1605.7851239669421</v>
      </c>
    </row>
    <row r="171" spans="1:27">
      <c r="A171">
        <v>2019</v>
      </c>
      <c r="B171" s="13" t="s">
        <v>50</v>
      </c>
      <c r="C171" s="13" t="s">
        <v>38</v>
      </c>
      <c r="D171" s="12">
        <v>21.72</v>
      </c>
      <c r="E171" s="17">
        <f t="shared" si="6"/>
        <v>21720</v>
      </c>
      <c r="F171" s="12">
        <v>3048.4</v>
      </c>
      <c r="G171" s="7">
        <v>15.5</v>
      </c>
      <c r="H171" s="7">
        <v>48.3</v>
      </c>
      <c r="I171" s="12">
        <v>37.1</v>
      </c>
      <c r="J171" s="13" t="s">
        <v>34</v>
      </c>
      <c r="K171" s="13" t="s">
        <v>32</v>
      </c>
      <c r="L171">
        <v>83</v>
      </c>
      <c r="M171">
        <v>21497</v>
      </c>
      <c r="N171" s="15">
        <f>O171/100</f>
        <v>0.752</v>
      </c>
      <c r="O171" s="14">
        <v>75.2</v>
      </c>
      <c r="P171">
        <v>33.299999999999997</v>
      </c>
      <c r="Q171">
        <v>0.49</v>
      </c>
      <c r="R171">
        <v>0.64</v>
      </c>
      <c r="S171">
        <v>0</v>
      </c>
      <c r="T171" s="15">
        <f t="shared" si="7"/>
        <v>0.24</v>
      </c>
      <c r="U171">
        <v>24</v>
      </c>
      <c r="V171">
        <v>47</v>
      </c>
      <c r="W171" s="12">
        <v>26</v>
      </c>
      <c r="X171" s="6">
        <v>385</v>
      </c>
      <c r="Y171" s="11">
        <f>VLOOKUP(B171,calculo!$C$5:$D$29,2,FALSE)</f>
        <v>0.11797009325813268</v>
      </c>
      <c r="Z171" s="11">
        <f>VLOOKUP(B171,calculo!$C$5:$E$29,3,FALSE)</f>
        <v>0.12846891294234219</v>
      </c>
      <c r="AA171" s="12">
        <f t="shared" si="8"/>
        <v>1401.2903225806451</v>
      </c>
    </row>
    <row r="172" spans="1:27">
      <c r="A172">
        <v>2020</v>
      </c>
      <c r="B172" s="13" t="s">
        <v>50</v>
      </c>
      <c r="C172" s="13" t="s">
        <v>38</v>
      </c>
      <c r="D172" s="12">
        <v>24.28</v>
      </c>
      <c r="E172" s="17">
        <f t="shared" si="6"/>
        <v>24280</v>
      </c>
      <c r="F172" s="12">
        <v>1526.8</v>
      </c>
      <c r="G172" s="7">
        <v>25.9</v>
      </c>
      <c r="H172" s="7">
        <v>80.5</v>
      </c>
      <c r="I172" s="12">
        <v>87.5</v>
      </c>
      <c r="J172" s="13" t="s">
        <v>33</v>
      </c>
      <c r="K172" s="13" t="s">
        <v>30</v>
      </c>
      <c r="L172">
        <v>117</v>
      </c>
      <c r="M172">
        <v>8658</v>
      </c>
      <c r="N172" s="15">
        <f>O172/100</f>
        <v>0.626</v>
      </c>
      <c r="O172" s="14">
        <v>62.6</v>
      </c>
      <c r="P172">
        <v>89.4</v>
      </c>
      <c r="Q172">
        <v>0.47</v>
      </c>
      <c r="R172">
        <v>1.05</v>
      </c>
      <c r="S172">
        <v>0.35</v>
      </c>
      <c r="T172" s="15">
        <f t="shared" si="7"/>
        <v>0.24</v>
      </c>
      <c r="U172">
        <v>24</v>
      </c>
      <c r="V172">
        <v>50</v>
      </c>
      <c r="W172" s="12">
        <v>29.9</v>
      </c>
      <c r="X172" s="6">
        <v>92</v>
      </c>
      <c r="Y172" s="11">
        <f>VLOOKUP(B172,calculo!$C$5:$D$29,2,FALSE)</f>
        <v>0.11797009325813268</v>
      </c>
      <c r="Z172" s="11">
        <f>VLOOKUP(B172,calculo!$C$5:$E$29,3,FALSE)</f>
        <v>0.12846891294234219</v>
      </c>
      <c r="AA172" s="12">
        <f t="shared" si="8"/>
        <v>937.45173745173747</v>
      </c>
    </row>
    <row r="173" spans="1:27">
      <c r="A173">
        <v>2021</v>
      </c>
      <c r="B173" s="13" t="s">
        <v>50</v>
      </c>
      <c r="C173" s="13" t="s">
        <v>38</v>
      </c>
      <c r="D173" s="12">
        <v>27.14</v>
      </c>
      <c r="E173" s="17">
        <f t="shared" si="6"/>
        <v>27140</v>
      </c>
      <c r="F173" s="12">
        <v>3635.8</v>
      </c>
      <c r="G173" s="7">
        <v>58.9</v>
      </c>
      <c r="H173" s="7">
        <v>161.69999999999999</v>
      </c>
      <c r="I173" s="12">
        <v>97.1</v>
      </c>
      <c r="J173" s="13" t="s">
        <v>29</v>
      </c>
      <c r="K173" s="13" t="s">
        <v>36</v>
      </c>
      <c r="L173">
        <v>23</v>
      </c>
      <c r="M173">
        <v>5152</v>
      </c>
      <c r="N173" s="15">
        <f>O173/100</f>
        <v>0.53100000000000003</v>
      </c>
      <c r="O173" s="14">
        <v>53.1</v>
      </c>
      <c r="P173">
        <v>44.7</v>
      </c>
      <c r="Q173">
        <v>0.61</v>
      </c>
      <c r="R173">
        <v>1.35</v>
      </c>
      <c r="S173">
        <v>0.59</v>
      </c>
      <c r="T173" s="15">
        <f t="shared" si="7"/>
        <v>0.30099999999999999</v>
      </c>
      <c r="U173">
        <v>30.1</v>
      </c>
      <c r="V173">
        <v>53</v>
      </c>
      <c r="W173" s="12">
        <v>6</v>
      </c>
      <c r="X173" s="6">
        <v>274</v>
      </c>
      <c r="Y173" s="11">
        <f>VLOOKUP(B173,calculo!$C$5:$D$29,2,FALSE)</f>
        <v>0.11797009325813268</v>
      </c>
      <c r="Z173" s="11">
        <f>VLOOKUP(B173,calculo!$C$5:$E$29,3,FALSE)</f>
        <v>0.12846891294234219</v>
      </c>
      <c r="AA173" s="12">
        <f t="shared" si="8"/>
        <v>460.78098471986419</v>
      </c>
    </row>
    <row r="174" spans="1:27">
      <c r="A174">
        <v>2022</v>
      </c>
      <c r="B174" s="13" t="s">
        <v>50</v>
      </c>
      <c r="C174" s="13" t="s">
        <v>38</v>
      </c>
      <c r="D174" s="12">
        <v>30.35</v>
      </c>
      <c r="E174" s="17">
        <f t="shared" si="6"/>
        <v>30350</v>
      </c>
      <c r="F174" s="12">
        <v>2431.5</v>
      </c>
      <c r="G174" s="7">
        <v>36.700000000000003</v>
      </c>
      <c r="H174" s="7">
        <v>76.900000000000006</v>
      </c>
      <c r="I174" s="12">
        <v>66</v>
      </c>
      <c r="J174" s="13" t="s">
        <v>31</v>
      </c>
      <c r="K174" s="13" t="s">
        <v>30</v>
      </c>
      <c r="L174">
        <v>98</v>
      </c>
      <c r="M174">
        <v>8820</v>
      </c>
      <c r="N174" s="15">
        <f>O174/100</f>
        <v>0.80099999999999993</v>
      </c>
      <c r="O174" s="14">
        <v>80.099999999999994</v>
      </c>
      <c r="P174">
        <v>69.5</v>
      </c>
      <c r="Q174">
        <v>0.66</v>
      </c>
      <c r="R174">
        <v>0.82</v>
      </c>
      <c r="S174">
        <v>0</v>
      </c>
      <c r="T174" s="15">
        <f t="shared" si="7"/>
        <v>0.29399999999999998</v>
      </c>
      <c r="U174">
        <v>29.4</v>
      </c>
      <c r="V174">
        <v>56</v>
      </c>
      <c r="W174" s="12">
        <v>15.9</v>
      </c>
      <c r="X174" s="6">
        <v>434</v>
      </c>
      <c r="Y174" s="11">
        <f>VLOOKUP(B174,calculo!$C$5:$D$29,2,FALSE)</f>
        <v>0.11797009325813268</v>
      </c>
      <c r="Z174" s="11">
        <f>VLOOKUP(B174,calculo!$C$5:$E$29,3,FALSE)</f>
        <v>0.12846891294234219</v>
      </c>
      <c r="AA174" s="12">
        <f t="shared" si="8"/>
        <v>826.97547683923699</v>
      </c>
    </row>
    <row r="175" spans="1:27">
      <c r="A175">
        <v>2023</v>
      </c>
      <c r="B175" s="13" t="s">
        <v>50</v>
      </c>
      <c r="C175" s="13" t="s">
        <v>38</v>
      </c>
      <c r="D175" s="12">
        <v>33.92</v>
      </c>
      <c r="E175" s="17">
        <f t="shared" si="6"/>
        <v>33920</v>
      </c>
      <c r="F175" s="12">
        <v>2664.1</v>
      </c>
      <c r="G175" s="7">
        <v>26.9</v>
      </c>
      <c r="H175" s="7">
        <v>54.7</v>
      </c>
      <c r="I175" s="12">
        <v>124.7</v>
      </c>
      <c r="J175" s="13" t="s">
        <v>31</v>
      </c>
      <c r="K175" s="13" t="s">
        <v>36</v>
      </c>
      <c r="L175">
        <v>89</v>
      </c>
      <c r="M175">
        <v>17622</v>
      </c>
      <c r="N175" s="15">
        <f>O175/100</f>
        <v>0.77</v>
      </c>
      <c r="O175" s="14">
        <v>77</v>
      </c>
      <c r="P175">
        <v>33.6</v>
      </c>
      <c r="Q175">
        <v>0.8</v>
      </c>
      <c r="R175">
        <v>0.88</v>
      </c>
      <c r="S175">
        <v>0</v>
      </c>
      <c r="T175" s="15">
        <f t="shared" si="7"/>
        <v>0.31900000000000001</v>
      </c>
      <c r="U175">
        <v>31.9</v>
      </c>
      <c r="V175">
        <v>59</v>
      </c>
      <c r="W175" s="12">
        <v>14.8</v>
      </c>
      <c r="X175" s="6">
        <v>210</v>
      </c>
      <c r="Y175" s="11">
        <f>VLOOKUP(B175,calculo!$C$5:$D$29,2,FALSE)</f>
        <v>0.11797009325813268</v>
      </c>
      <c r="Z175" s="11">
        <f>VLOOKUP(B175,calculo!$C$5:$E$29,3,FALSE)</f>
        <v>0.12846891294234219</v>
      </c>
      <c r="AA175" s="12">
        <f t="shared" si="8"/>
        <v>1260.9665427509294</v>
      </c>
    </row>
    <row r="176" spans="1:27">
      <c r="A176">
        <v>2024</v>
      </c>
      <c r="B176" s="13" t="s">
        <v>50</v>
      </c>
      <c r="C176" s="13" t="s">
        <v>38</v>
      </c>
      <c r="D176" s="12">
        <v>37.93</v>
      </c>
      <c r="E176" s="17">
        <f t="shared" si="6"/>
        <v>37930</v>
      </c>
      <c r="F176" s="12">
        <v>5041.5</v>
      </c>
      <c r="G176" s="7">
        <v>53</v>
      </c>
      <c r="H176" s="7">
        <v>140.1</v>
      </c>
      <c r="I176" s="12">
        <v>92.1</v>
      </c>
      <c r="J176" s="13" t="s">
        <v>31</v>
      </c>
      <c r="K176" s="13" t="s">
        <v>30</v>
      </c>
      <c r="L176">
        <v>51</v>
      </c>
      <c r="M176">
        <v>11067</v>
      </c>
      <c r="N176" s="15">
        <f>O176/100</f>
        <v>0.84799999999999998</v>
      </c>
      <c r="O176" s="14">
        <v>84.8</v>
      </c>
      <c r="P176">
        <v>70.099999999999994</v>
      </c>
      <c r="Q176">
        <v>0.83</v>
      </c>
      <c r="R176">
        <v>0.94</v>
      </c>
      <c r="S176">
        <v>0</v>
      </c>
      <c r="T176" s="15">
        <f t="shared" si="7"/>
        <v>0.34600000000000003</v>
      </c>
      <c r="U176">
        <v>34.6</v>
      </c>
      <c r="V176">
        <v>62</v>
      </c>
      <c r="W176" s="12">
        <v>11.7</v>
      </c>
      <c r="X176" s="6">
        <v>35</v>
      </c>
      <c r="Y176" s="11">
        <f>VLOOKUP(B176,calculo!$C$5:$D$29,2,FALSE)</f>
        <v>0.11797009325813268</v>
      </c>
      <c r="Z176" s="11">
        <f>VLOOKUP(B176,calculo!$C$5:$E$29,3,FALSE)</f>
        <v>0.12846891294234219</v>
      </c>
      <c r="AA176" s="12">
        <f t="shared" si="8"/>
        <v>715.66037735849056</v>
      </c>
    </row>
    <row r="177" spans="1:27">
      <c r="A177">
        <v>2025</v>
      </c>
      <c r="B177" s="13" t="s">
        <v>50</v>
      </c>
      <c r="C177" s="13" t="s">
        <v>38</v>
      </c>
      <c r="D177" s="12">
        <v>42.4</v>
      </c>
      <c r="E177" s="17">
        <f t="shared" si="6"/>
        <v>42400</v>
      </c>
      <c r="F177" s="12">
        <v>6140</v>
      </c>
      <c r="G177" s="7">
        <v>27.8</v>
      </c>
      <c r="H177" s="7">
        <v>85.6</v>
      </c>
      <c r="I177" s="12">
        <v>106.8</v>
      </c>
      <c r="J177" s="13" t="s">
        <v>31</v>
      </c>
      <c r="K177" s="13" t="s">
        <v>30</v>
      </c>
      <c r="L177">
        <v>59</v>
      </c>
      <c r="M177">
        <v>14632</v>
      </c>
      <c r="N177" s="15">
        <f>O177/100</f>
        <v>0.85400000000000009</v>
      </c>
      <c r="O177" s="14">
        <v>85.4</v>
      </c>
      <c r="P177">
        <v>97.8</v>
      </c>
      <c r="Q177">
        <v>0.88</v>
      </c>
      <c r="R177">
        <v>1</v>
      </c>
      <c r="S177">
        <v>0</v>
      </c>
      <c r="T177" s="15">
        <f t="shared" si="7"/>
        <v>0.34299999999999997</v>
      </c>
      <c r="U177">
        <v>34.299999999999997</v>
      </c>
      <c r="V177">
        <v>65</v>
      </c>
      <c r="W177" s="12">
        <v>10.8</v>
      </c>
      <c r="X177" s="6">
        <v>203</v>
      </c>
      <c r="Y177" s="11">
        <f>VLOOKUP(B177,calculo!$C$5:$D$29,2,FALSE)</f>
        <v>0.11797009325813268</v>
      </c>
      <c r="Z177" s="11">
        <f>VLOOKUP(B177,calculo!$C$5:$E$29,3,FALSE)</f>
        <v>0.12846891294234219</v>
      </c>
      <c r="AA177" s="12">
        <f t="shared" si="8"/>
        <v>1525.1798561151079</v>
      </c>
    </row>
    <row r="178" spans="1:27">
      <c r="A178">
        <v>2010</v>
      </c>
      <c r="B178" s="13" t="s">
        <v>51</v>
      </c>
      <c r="C178" s="13" t="s">
        <v>38</v>
      </c>
      <c r="D178" s="12">
        <v>4.8</v>
      </c>
      <c r="E178" s="17">
        <f t="shared" si="6"/>
        <v>4800</v>
      </c>
      <c r="F178" s="12">
        <v>241.5</v>
      </c>
      <c r="G178" s="7">
        <v>4.3</v>
      </c>
      <c r="H178" s="7">
        <v>11.7</v>
      </c>
      <c r="I178" s="12">
        <v>138.9</v>
      </c>
      <c r="J178" s="13" t="s">
        <v>35</v>
      </c>
      <c r="K178" s="13" t="s">
        <v>36</v>
      </c>
      <c r="L178">
        <v>87</v>
      </c>
      <c r="M178">
        <v>15051</v>
      </c>
      <c r="N178" s="15">
        <f>O178/100</f>
        <v>0.71299999999999997</v>
      </c>
      <c r="O178" s="14">
        <v>71.3</v>
      </c>
      <c r="P178">
        <v>71.7</v>
      </c>
      <c r="Q178">
        <v>0.15</v>
      </c>
      <c r="R178">
        <v>0.1</v>
      </c>
      <c r="S178">
        <v>0</v>
      </c>
      <c r="T178" s="15">
        <f t="shared" si="7"/>
        <v>9.6000000000000002E-2</v>
      </c>
      <c r="U178">
        <v>9.6</v>
      </c>
      <c r="V178">
        <v>20</v>
      </c>
      <c r="W178" s="12">
        <v>23.3</v>
      </c>
      <c r="X178" s="6">
        <v>151</v>
      </c>
      <c r="Y178" s="11">
        <f>VLOOKUP(B178,calculo!$C$5:$D$29,2,FALSE)</f>
        <v>0.14460949196571371</v>
      </c>
      <c r="Z178" s="11">
        <f>VLOOKUP(B178,calculo!$C$5:$E$29,3,FALSE)</f>
        <v>0.20582061417956043</v>
      </c>
      <c r="AA178" s="12">
        <f t="shared" si="8"/>
        <v>1116.2790697674418</v>
      </c>
    </row>
    <row r="179" spans="1:27">
      <c r="A179">
        <v>2011</v>
      </c>
      <c r="B179" s="13" t="s">
        <v>51</v>
      </c>
      <c r="C179" s="13" t="s">
        <v>38</v>
      </c>
      <c r="D179" s="12">
        <v>5.5</v>
      </c>
      <c r="E179" s="17">
        <f t="shared" si="6"/>
        <v>5500</v>
      </c>
      <c r="F179" s="12">
        <v>388.6</v>
      </c>
      <c r="G179" s="7">
        <v>32</v>
      </c>
      <c r="H179" s="7">
        <v>48.3</v>
      </c>
      <c r="I179" s="12">
        <v>30.9</v>
      </c>
      <c r="J179" s="13" t="s">
        <v>31</v>
      </c>
      <c r="K179" s="13" t="s">
        <v>36</v>
      </c>
      <c r="L179">
        <v>66</v>
      </c>
      <c r="M179">
        <v>12210</v>
      </c>
      <c r="N179" s="15">
        <f>O179/100</f>
        <v>0.65200000000000002</v>
      </c>
      <c r="O179" s="14">
        <v>65.2</v>
      </c>
      <c r="P179">
        <v>85.2</v>
      </c>
      <c r="Q179">
        <v>0.02</v>
      </c>
      <c r="R179">
        <v>0.16</v>
      </c>
      <c r="S179">
        <v>0</v>
      </c>
      <c r="T179" s="15">
        <f t="shared" si="7"/>
        <v>0.13200000000000001</v>
      </c>
      <c r="U179">
        <v>13.2</v>
      </c>
      <c r="V179">
        <v>23</v>
      </c>
      <c r="W179" s="12">
        <v>10.5</v>
      </c>
      <c r="X179" s="6">
        <v>442</v>
      </c>
      <c r="Y179" s="11">
        <f>VLOOKUP(B179,calculo!$C$5:$D$29,2,FALSE)</f>
        <v>0.14460949196571371</v>
      </c>
      <c r="Z179" s="11">
        <f>VLOOKUP(B179,calculo!$C$5:$E$29,3,FALSE)</f>
        <v>0.20582061417956043</v>
      </c>
      <c r="AA179" s="12">
        <f t="shared" si="8"/>
        <v>171.875</v>
      </c>
    </row>
    <row r="180" spans="1:27">
      <c r="A180">
        <v>2012</v>
      </c>
      <c r="B180" s="13" t="s">
        <v>51</v>
      </c>
      <c r="C180" s="13" t="s">
        <v>38</v>
      </c>
      <c r="D180" s="12">
        <v>6.29</v>
      </c>
      <c r="E180" s="17">
        <f t="shared" si="6"/>
        <v>6290</v>
      </c>
      <c r="F180" s="12">
        <v>342.5</v>
      </c>
      <c r="G180" s="7">
        <v>18.100000000000001</v>
      </c>
      <c r="H180" s="7">
        <v>56.8</v>
      </c>
      <c r="I180" s="12">
        <v>64.099999999999994</v>
      </c>
      <c r="J180" s="13" t="s">
        <v>34</v>
      </c>
      <c r="K180" s="13" t="s">
        <v>32</v>
      </c>
      <c r="L180">
        <v>21</v>
      </c>
      <c r="M180">
        <v>2877</v>
      </c>
      <c r="N180" s="15">
        <f>O180/100</f>
        <v>0.75900000000000001</v>
      </c>
      <c r="O180" s="14">
        <v>75.900000000000006</v>
      </c>
      <c r="P180">
        <v>27.2</v>
      </c>
      <c r="Q180">
        <v>0.08</v>
      </c>
      <c r="R180">
        <v>0.22</v>
      </c>
      <c r="S180">
        <v>0</v>
      </c>
      <c r="T180" s="15">
        <f t="shared" si="7"/>
        <v>0.106</v>
      </c>
      <c r="U180">
        <v>10.6</v>
      </c>
      <c r="V180">
        <v>26</v>
      </c>
      <c r="W180" s="12">
        <v>5.9</v>
      </c>
      <c r="X180" s="6">
        <v>201</v>
      </c>
      <c r="Y180" s="11">
        <f>VLOOKUP(B180,calculo!$C$5:$D$29,2,FALSE)</f>
        <v>0.14460949196571371</v>
      </c>
      <c r="Z180" s="11">
        <f>VLOOKUP(B180,calculo!$C$5:$E$29,3,FALSE)</f>
        <v>0.20582061417956043</v>
      </c>
      <c r="AA180" s="12">
        <f t="shared" si="8"/>
        <v>347.5138121546961</v>
      </c>
    </row>
    <row r="181" spans="1:27">
      <c r="A181">
        <v>2013</v>
      </c>
      <c r="B181" s="13" t="s">
        <v>51</v>
      </c>
      <c r="C181" s="13" t="s">
        <v>38</v>
      </c>
      <c r="D181" s="12">
        <v>7.2</v>
      </c>
      <c r="E181" s="17">
        <f t="shared" si="6"/>
        <v>7200</v>
      </c>
      <c r="F181" s="12">
        <v>644.1</v>
      </c>
      <c r="G181" s="7">
        <v>26.5</v>
      </c>
      <c r="H181" s="7">
        <v>61.5</v>
      </c>
      <c r="I181" s="12">
        <v>138.9</v>
      </c>
      <c r="J181" s="13" t="s">
        <v>35</v>
      </c>
      <c r="K181" s="13" t="s">
        <v>36</v>
      </c>
      <c r="L181">
        <v>113</v>
      </c>
      <c r="M181">
        <v>6893</v>
      </c>
      <c r="N181" s="15">
        <f>O181/100</f>
        <v>0.82299999999999995</v>
      </c>
      <c r="O181" s="14">
        <v>82.3</v>
      </c>
      <c r="P181">
        <v>96.6</v>
      </c>
      <c r="Q181">
        <v>0.08</v>
      </c>
      <c r="R181">
        <v>0.28000000000000003</v>
      </c>
      <c r="S181">
        <v>0</v>
      </c>
      <c r="T181" s="15">
        <f t="shared" si="7"/>
        <v>0.13699999999999998</v>
      </c>
      <c r="U181">
        <v>13.7</v>
      </c>
      <c r="V181">
        <v>29</v>
      </c>
      <c r="W181" s="12">
        <v>36</v>
      </c>
      <c r="X181" s="6">
        <v>462</v>
      </c>
      <c r="Y181" s="11">
        <f>VLOOKUP(B181,calculo!$C$5:$D$29,2,FALSE)</f>
        <v>0.14460949196571371</v>
      </c>
      <c r="Z181" s="11">
        <f>VLOOKUP(B181,calculo!$C$5:$E$29,3,FALSE)</f>
        <v>0.20582061417956043</v>
      </c>
      <c r="AA181" s="12">
        <f t="shared" si="8"/>
        <v>271.69811320754718</v>
      </c>
    </row>
    <row r="182" spans="1:27">
      <c r="A182">
        <v>2014</v>
      </c>
      <c r="B182" s="13" t="s">
        <v>51</v>
      </c>
      <c r="C182" s="13" t="s">
        <v>38</v>
      </c>
      <c r="D182" s="12">
        <v>8.24</v>
      </c>
      <c r="E182" s="17">
        <f t="shared" si="6"/>
        <v>8240</v>
      </c>
      <c r="F182" s="12">
        <v>977.9</v>
      </c>
      <c r="G182" s="7">
        <v>8.6</v>
      </c>
      <c r="H182" s="7">
        <v>19.600000000000001</v>
      </c>
      <c r="I182" s="12">
        <v>84.7</v>
      </c>
      <c r="J182" s="13" t="s">
        <v>31</v>
      </c>
      <c r="K182" s="13" t="s">
        <v>36</v>
      </c>
      <c r="L182">
        <v>86</v>
      </c>
      <c r="M182">
        <v>23908</v>
      </c>
      <c r="N182" s="15">
        <f>O182/100</f>
        <v>0.53200000000000003</v>
      </c>
      <c r="O182" s="14">
        <v>53.2</v>
      </c>
      <c r="P182">
        <v>31</v>
      </c>
      <c r="Q182">
        <v>0.11</v>
      </c>
      <c r="R182">
        <v>0.34</v>
      </c>
      <c r="S182">
        <v>0</v>
      </c>
      <c r="T182" s="15">
        <f t="shared" si="7"/>
        <v>0.154</v>
      </c>
      <c r="U182">
        <v>15.4</v>
      </c>
      <c r="V182">
        <v>32</v>
      </c>
      <c r="W182" s="12">
        <v>15.5</v>
      </c>
      <c r="X182" s="6">
        <v>152</v>
      </c>
      <c r="Y182" s="11">
        <f>VLOOKUP(B182,calculo!$C$5:$D$29,2,FALSE)</f>
        <v>0.14460949196571371</v>
      </c>
      <c r="Z182" s="11">
        <f>VLOOKUP(B182,calculo!$C$5:$E$29,3,FALSE)</f>
        <v>0.20582061417956043</v>
      </c>
      <c r="AA182" s="12">
        <f t="shared" si="8"/>
        <v>958.13953488372101</v>
      </c>
    </row>
    <row r="183" spans="1:27">
      <c r="A183">
        <v>2015</v>
      </c>
      <c r="B183" s="13" t="s">
        <v>51</v>
      </c>
      <c r="C183" s="13" t="s">
        <v>38</v>
      </c>
      <c r="D183" s="12">
        <v>9.43</v>
      </c>
      <c r="E183" s="17">
        <f t="shared" si="6"/>
        <v>9430</v>
      </c>
      <c r="F183" s="12">
        <v>1081.0999999999999</v>
      </c>
      <c r="G183" s="7">
        <v>39.5</v>
      </c>
      <c r="H183" s="7">
        <v>129.4</v>
      </c>
      <c r="I183" s="12">
        <v>101.8</v>
      </c>
      <c r="J183" s="13" t="s">
        <v>35</v>
      </c>
      <c r="K183" s="13" t="s">
        <v>36</v>
      </c>
      <c r="L183">
        <v>18</v>
      </c>
      <c r="M183">
        <v>4662</v>
      </c>
      <c r="N183" s="15">
        <f>O183/100</f>
        <v>0.56899999999999995</v>
      </c>
      <c r="O183" s="14">
        <v>56.9</v>
      </c>
      <c r="P183">
        <v>37.9</v>
      </c>
      <c r="Q183">
        <v>7.0000000000000007E-2</v>
      </c>
      <c r="R183">
        <v>0.4</v>
      </c>
      <c r="S183">
        <v>0</v>
      </c>
      <c r="T183" s="15">
        <f t="shared" si="7"/>
        <v>0.21299999999999999</v>
      </c>
      <c r="U183">
        <v>21.3</v>
      </c>
      <c r="V183">
        <v>35</v>
      </c>
      <c r="W183" s="12">
        <v>3.3</v>
      </c>
      <c r="X183" s="6">
        <v>463</v>
      </c>
      <c r="Y183" s="11">
        <f>VLOOKUP(B183,calculo!$C$5:$D$29,2,FALSE)</f>
        <v>0.14460949196571371</v>
      </c>
      <c r="Z183" s="11">
        <f>VLOOKUP(B183,calculo!$C$5:$E$29,3,FALSE)</f>
        <v>0.20582061417956043</v>
      </c>
      <c r="AA183" s="12">
        <f t="shared" si="8"/>
        <v>238.73417721518987</v>
      </c>
    </row>
    <row r="184" spans="1:27">
      <c r="A184">
        <v>2016</v>
      </c>
      <c r="B184" s="13" t="s">
        <v>51</v>
      </c>
      <c r="C184" s="13" t="s">
        <v>38</v>
      </c>
      <c r="D184" s="12">
        <v>10.8</v>
      </c>
      <c r="E184" s="17">
        <f t="shared" si="6"/>
        <v>10800</v>
      </c>
      <c r="F184" s="12">
        <v>693.3</v>
      </c>
      <c r="G184" s="7">
        <v>2.7</v>
      </c>
      <c r="H184" s="7">
        <v>6.3</v>
      </c>
      <c r="I184" s="12">
        <v>65.400000000000006</v>
      </c>
      <c r="J184" s="13" t="s">
        <v>33</v>
      </c>
      <c r="K184" s="13" t="s">
        <v>36</v>
      </c>
      <c r="L184">
        <v>69</v>
      </c>
      <c r="M184">
        <v>7176</v>
      </c>
      <c r="N184" s="15">
        <f>O184/100</f>
        <v>0.55500000000000005</v>
      </c>
      <c r="O184" s="14">
        <v>55.5</v>
      </c>
      <c r="P184">
        <v>66.900000000000006</v>
      </c>
      <c r="Q184">
        <v>0.18</v>
      </c>
      <c r="R184">
        <v>0.46</v>
      </c>
      <c r="S184">
        <v>0</v>
      </c>
      <c r="T184" s="15">
        <f t="shared" si="7"/>
        <v>0.185</v>
      </c>
      <c r="U184">
        <v>18.5</v>
      </c>
      <c r="V184">
        <v>38</v>
      </c>
      <c r="W184" s="12">
        <v>20.3</v>
      </c>
      <c r="X184" s="6">
        <v>232</v>
      </c>
      <c r="Y184" s="11">
        <f>VLOOKUP(B184,calculo!$C$5:$D$29,2,FALSE)</f>
        <v>0.14460949196571371</v>
      </c>
      <c r="Z184" s="11">
        <f>VLOOKUP(B184,calculo!$C$5:$E$29,3,FALSE)</f>
        <v>0.20582061417956043</v>
      </c>
      <c r="AA184" s="12">
        <f t="shared" si="8"/>
        <v>3999.9999999999995</v>
      </c>
    </row>
    <row r="185" spans="1:27">
      <c r="A185">
        <v>2017</v>
      </c>
      <c r="B185" s="13" t="s">
        <v>51</v>
      </c>
      <c r="C185" s="13" t="s">
        <v>38</v>
      </c>
      <c r="D185" s="12">
        <v>12.36</v>
      </c>
      <c r="E185" s="17">
        <f t="shared" si="6"/>
        <v>12360</v>
      </c>
      <c r="F185" s="12">
        <v>701.2</v>
      </c>
      <c r="G185" s="7">
        <v>24.5</v>
      </c>
      <c r="H185" s="7">
        <v>78.400000000000006</v>
      </c>
      <c r="I185" s="12">
        <v>78.5</v>
      </c>
      <c r="J185" s="13" t="s">
        <v>33</v>
      </c>
      <c r="K185" s="13" t="s">
        <v>30</v>
      </c>
      <c r="L185">
        <v>49</v>
      </c>
      <c r="M185">
        <v>8232</v>
      </c>
      <c r="N185" s="15">
        <f>O185/100</f>
        <v>0.70099999999999996</v>
      </c>
      <c r="O185" s="14">
        <v>70.099999999999994</v>
      </c>
      <c r="P185">
        <v>84.9</v>
      </c>
      <c r="Q185">
        <v>0.33</v>
      </c>
      <c r="R185">
        <v>0.52</v>
      </c>
      <c r="S185">
        <v>0</v>
      </c>
      <c r="T185" s="15">
        <f t="shared" si="7"/>
        <v>0.214</v>
      </c>
      <c r="U185">
        <v>21.4</v>
      </c>
      <c r="V185">
        <v>41</v>
      </c>
      <c r="W185" s="12">
        <v>14</v>
      </c>
      <c r="X185" s="6">
        <v>460</v>
      </c>
      <c r="Y185" s="11">
        <f>VLOOKUP(B185,calculo!$C$5:$D$29,2,FALSE)</f>
        <v>0.14460949196571371</v>
      </c>
      <c r="Z185" s="11">
        <f>VLOOKUP(B185,calculo!$C$5:$E$29,3,FALSE)</f>
        <v>0.20582061417956043</v>
      </c>
      <c r="AA185" s="12">
        <f t="shared" si="8"/>
        <v>504.48979591836735</v>
      </c>
    </row>
    <row r="186" spans="1:27">
      <c r="A186">
        <v>2018</v>
      </c>
      <c r="B186" s="13" t="s">
        <v>51</v>
      </c>
      <c r="C186" s="13" t="s">
        <v>38</v>
      </c>
      <c r="D186" s="12">
        <v>14.14</v>
      </c>
      <c r="E186" s="17">
        <f t="shared" si="6"/>
        <v>14140</v>
      </c>
      <c r="F186" s="12">
        <v>1781.3</v>
      </c>
      <c r="G186" s="7">
        <v>7.7</v>
      </c>
      <c r="H186" s="7">
        <v>25.4</v>
      </c>
      <c r="I186" s="12">
        <v>31.5</v>
      </c>
      <c r="J186" s="13" t="s">
        <v>35</v>
      </c>
      <c r="K186" s="13" t="s">
        <v>32</v>
      </c>
      <c r="L186">
        <v>61</v>
      </c>
      <c r="M186">
        <v>10187</v>
      </c>
      <c r="N186" s="15">
        <f>O186/100</f>
        <v>0.73</v>
      </c>
      <c r="O186" s="14">
        <v>73</v>
      </c>
      <c r="P186">
        <v>37.4</v>
      </c>
      <c r="Q186">
        <v>0.45</v>
      </c>
      <c r="R186">
        <v>0.57999999999999996</v>
      </c>
      <c r="S186">
        <v>0</v>
      </c>
      <c r="T186" s="15">
        <f t="shared" si="7"/>
        <v>0.20600000000000002</v>
      </c>
      <c r="U186">
        <v>20.6</v>
      </c>
      <c r="V186">
        <v>44</v>
      </c>
      <c r="W186" s="12">
        <v>19.899999999999999</v>
      </c>
      <c r="X186" s="6">
        <v>16</v>
      </c>
      <c r="Y186" s="11">
        <f>VLOOKUP(B186,calculo!$C$5:$D$29,2,FALSE)</f>
        <v>0.14460949196571371</v>
      </c>
      <c r="Z186" s="11">
        <f>VLOOKUP(B186,calculo!$C$5:$E$29,3,FALSE)</f>
        <v>0.20582061417956043</v>
      </c>
      <c r="AA186" s="12">
        <f t="shared" si="8"/>
        <v>1836.3636363636363</v>
      </c>
    </row>
    <row r="187" spans="1:27">
      <c r="A187">
        <v>2019</v>
      </c>
      <c r="B187" s="13" t="s">
        <v>51</v>
      </c>
      <c r="C187" s="13" t="s">
        <v>38</v>
      </c>
      <c r="D187" s="12">
        <v>16.190000000000001</v>
      </c>
      <c r="E187" s="17">
        <f t="shared" si="6"/>
        <v>16190.000000000002</v>
      </c>
      <c r="F187" s="12">
        <v>850.7</v>
      </c>
      <c r="G187" s="7">
        <v>39.5</v>
      </c>
      <c r="H187" s="7">
        <v>109.4</v>
      </c>
      <c r="I187" s="12">
        <v>70.900000000000006</v>
      </c>
      <c r="J187" s="13" t="s">
        <v>35</v>
      </c>
      <c r="K187" s="13" t="s">
        <v>36</v>
      </c>
      <c r="L187">
        <v>99</v>
      </c>
      <c r="M187">
        <v>26532</v>
      </c>
      <c r="N187" s="15">
        <f>O187/100</f>
        <v>0.80500000000000005</v>
      </c>
      <c r="O187" s="14">
        <v>80.5</v>
      </c>
      <c r="P187">
        <v>70.400000000000006</v>
      </c>
      <c r="Q187">
        <v>0.37</v>
      </c>
      <c r="R187">
        <v>0.64</v>
      </c>
      <c r="S187">
        <v>0</v>
      </c>
      <c r="T187" s="15">
        <f t="shared" si="7"/>
        <v>0.24100000000000002</v>
      </c>
      <c r="U187">
        <v>24.1</v>
      </c>
      <c r="V187">
        <v>47</v>
      </c>
      <c r="W187" s="12">
        <v>25</v>
      </c>
      <c r="X187" s="6">
        <v>427</v>
      </c>
      <c r="Y187" s="11">
        <f>VLOOKUP(B187,calculo!$C$5:$D$29,2,FALSE)</f>
        <v>0.14460949196571371</v>
      </c>
      <c r="Z187" s="11">
        <f>VLOOKUP(B187,calculo!$C$5:$E$29,3,FALSE)</f>
        <v>0.20582061417956043</v>
      </c>
      <c r="AA187" s="12">
        <f t="shared" si="8"/>
        <v>409.87341772151905</v>
      </c>
    </row>
    <row r="188" spans="1:27">
      <c r="A188">
        <v>2020</v>
      </c>
      <c r="B188" s="13" t="s">
        <v>51</v>
      </c>
      <c r="C188" s="13" t="s">
        <v>38</v>
      </c>
      <c r="D188" s="12">
        <v>18.53</v>
      </c>
      <c r="E188" s="17">
        <f t="shared" si="6"/>
        <v>18530</v>
      </c>
      <c r="F188" s="12">
        <v>1121.5999999999999</v>
      </c>
      <c r="G188" s="7">
        <v>11.7</v>
      </c>
      <c r="H188" s="7">
        <v>40.299999999999997</v>
      </c>
      <c r="I188" s="12">
        <v>57.4</v>
      </c>
      <c r="J188" s="13" t="s">
        <v>29</v>
      </c>
      <c r="K188" s="13" t="s">
        <v>30</v>
      </c>
      <c r="L188">
        <v>92</v>
      </c>
      <c r="M188">
        <v>21712</v>
      </c>
      <c r="N188" s="15">
        <f>O188/100</f>
        <v>0.51800000000000002</v>
      </c>
      <c r="O188" s="14">
        <v>51.8</v>
      </c>
      <c r="P188">
        <v>27.3</v>
      </c>
      <c r="Q188">
        <v>0.57999999999999996</v>
      </c>
      <c r="R188">
        <v>1.24</v>
      </c>
      <c r="S188">
        <v>0.54</v>
      </c>
      <c r="T188" s="15">
        <f t="shared" si="7"/>
        <v>0.307</v>
      </c>
      <c r="U188">
        <v>30.7</v>
      </c>
      <c r="V188">
        <v>50</v>
      </c>
      <c r="W188" s="12">
        <v>26</v>
      </c>
      <c r="X188" s="6">
        <v>457</v>
      </c>
      <c r="Y188" s="11">
        <f>VLOOKUP(B188,calculo!$C$5:$D$29,2,FALSE)</f>
        <v>0.14460949196571371</v>
      </c>
      <c r="Z188" s="11">
        <f>VLOOKUP(B188,calculo!$C$5:$E$29,3,FALSE)</f>
        <v>0.20582061417956043</v>
      </c>
      <c r="AA188" s="12">
        <f t="shared" si="8"/>
        <v>1583.7606837606838</v>
      </c>
    </row>
    <row r="189" spans="1:27">
      <c r="A189">
        <v>2021</v>
      </c>
      <c r="B189" s="13" t="s">
        <v>51</v>
      </c>
      <c r="C189" s="13" t="s">
        <v>38</v>
      </c>
      <c r="D189" s="12">
        <v>21.21</v>
      </c>
      <c r="E189" s="17">
        <f t="shared" si="6"/>
        <v>21210</v>
      </c>
      <c r="F189" s="12">
        <v>1372.4</v>
      </c>
      <c r="G189" s="7">
        <v>30.3</v>
      </c>
      <c r="H189" s="7">
        <v>53.3</v>
      </c>
      <c r="I189" s="12">
        <v>130.30000000000001</v>
      </c>
      <c r="J189" s="13" t="s">
        <v>34</v>
      </c>
      <c r="K189" s="13" t="s">
        <v>32</v>
      </c>
      <c r="L189">
        <v>41</v>
      </c>
      <c r="M189">
        <v>8979</v>
      </c>
      <c r="N189" s="15">
        <f>O189/100</f>
        <v>0.7</v>
      </c>
      <c r="O189" s="14">
        <v>70</v>
      </c>
      <c r="P189">
        <v>99.6</v>
      </c>
      <c r="Q189">
        <v>0.5</v>
      </c>
      <c r="R189">
        <v>1.1299999999999999</v>
      </c>
      <c r="S189">
        <v>0.37</v>
      </c>
      <c r="T189" s="15">
        <f t="shared" si="7"/>
        <v>0.26500000000000001</v>
      </c>
      <c r="U189">
        <v>26.5</v>
      </c>
      <c r="V189">
        <v>53</v>
      </c>
      <c r="W189" s="12">
        <v>10</v>
      </c>
      <c r="X189" s="6">
        <v>210</v>
      </c>
      <c r="Y189" s="11">
        <f>VLOOKUP(B189,calculo!$C$5:$D$29,2,FALSE)</f>
        <v>0.14460949196571371</v>
      </c>
      <c r="Z189" s="11">
        <f>VLOOKUP(B189,calculo!$C$5:$E$29,3,FALSE)</f>
        <v>0.20582061417956043</v>
      </c>
      <c r="AA189" s="12">
        <f t="shared" si="8"/>
        <v>700</v>
      </c>
    </row>
    <row r="190" spans="1:27">
      <c r="A190">
        <v>2022</v>
      </c>
      <c r="B190" s="13" t="s">
        <v>51</v>
      </c>
      <c r="C190" s="13" t="s">
        <v>38</v>
      </c>
      <c r="D190" s="12">
        <v>24.28</v>
      </c>
      <c r="E190" s="17">
        <f t="shared" si="6"/>
        <v>24280</v>
      </c>
      <c r="F190" s="12">
        <v>2149.6</v>
      </c>
      <c r="G190" s="7">
        <v>21.7</v>
      </c>
      <c r="H190" s="7">
        <v>56.2</v>
      </c>
      <c r="I190" s="12">
        <v>48.5</v>
      </c>
      <c r="J190" s="13" t="s">
        <v>29</v>
      </c>
      <c r="K190" s="13" t="s">
        <v>32</v>
      </c>
      <c r="L190">
        <v>53</v>
      </c>
      <c r="M190">
        <v>10070</v>
      </c>
      <c r="N190" s="15">
        <f>O190/100</f>
        <v>0.877</v>
      </c>
      <c r="O190" s="14">
        <v>87.7</v>
      </c>
      <c r="P190">
        <v>51.7</v>
      </c>
      <c r="Q190">
        <v>0.65</v>
      </c>
      <c r="R190">
        <v>0.82</v>
      </c>
      <c r="S190">
        <v>0</v>
      </c>
      <c r="T190" s="15">
        <f t="shared" si="7"/>
        <v>0.309</v>
      </c>
      <c r="U190">
        <v>30.9</v>
      </c>
      <c r="V190">
        <v>56</v>
      </c>
      <c r="W190" s="12">
        <v>15.1</v>
      </c>
      <c r="X190" s="6">
        <v>363</v>
      </c>
      <c r="Y190" s="11">
        <f>VLOOKUP(B190,calculo!$C$5:$D$29,2,FALSE)</f>
        <v>0.14460949196571371</v>
      </c>
      <c r="Z190" s="11">
        <f>VLOOKUP(B190,calculo!$C$5:$E$29,3,FALSE)</f>
        <v>0.20582061417956043</v>
      </c>
      <c r="AA190" s="12">
        <f t="shared" si="8"/>
        <v>1118.8940092165899</v>
      </c>
    </row>
    <row r="191" spans="1:27">
      <c r="A191">
        <v>2023</v>
      </c>
      <c r="B191" s="13" t="s">
        <v>51</v>
      </c>
      <c r="C191" s="13" t="s">
        <v>38</v>
      </c>
      <c r="D191" s="12">
        <v>27.79</v>
      </c>
      <c r="E191" s="17">
        <f t="shared" si="6"/>
        <v>27790</v>
      </c>
      <c r="F191" s="12">
        <v>1549.4</v>
      </c>
      <c r="G191" s="7">
        <v>21.9</v>
      </c>
      <c r="H191" s="7">
        <v>44.6</v>
      </c>
      <c r="I191" s="12">
        <v>146</v>
      </c>
      <c r="J191" s="13" t="s">
        <v>31</v>
      </c>
      <c r="K191" s="13" t="s">
        <v>32</v>
      </c>
      <c r="L191">
        <v>107</v>
      </c>
      <c r="M191">
        <v>12519</v>
      </c>
      <c r="N191" s="15">
        <f>O191/100</f>
        <v>0.56299999999999994</v>
      </c>
      <c r="O191" s="14">
        <v>56.3</v>
      </c>
      <c r="P191">
        <v>58.3</v>
      </c>
      <c r="Q191">
        <v>0.7</v>
      </c>
      <c r="R191">
        <v>0.88</v>
      </c>
      <c r="S191">
        <v>0</v>
      </c>
      <c r="T191" s="15">
        <f t="shared" si="7"/>
        <v>0.30399999999999999</v>
      </c>
      <c r="U191">
        <v>30.4</v>
      </c>
      <c r="V191">
        <v>59</v>
      </c>
      <c r="W191" s="12">
        <v>25.3</v>
      </c>
      <c r="X191" s="6">
        <v>120</v>
      </c>
      <c r="Y191" s="11">
        <f>VLOOKUP(B191,calculo!$C$5:$D$29,2,FALSE)</f>
        <v>0.14460949196571371</v>
      </c>
      <c r="Z191" s="11">
        <f>VLOOKUP(B191,calculo!$C$5:$E$29,3,FALSE)</f>
        <v>0.20582061417956043</v>
      </c>
      <c r="AA191" s="12">
        <f t="shared" si="8"/>
        <v>1268.9497716894978</v>
      </c>
    </row>
    <row r="192" spans="1:27">
      <c r="A192">
        <v>2024</v>
      </c>
      <c r="B192" s="13" t="s">
        <v>51</v>
      </c>
      <c r="C192" s="13" t="s">
        <v>38</v>
      </c>
      <c r="D192" s="12">
        <v>31.8</v>
      </c>
      <c r="E192" s="17">
        <f t="shared" si="6"/>
        <v>31800</v>
      </c>
      <c r="F192" s="12">
        <v>4078.3</v>
      </c>
      <c r="G192" s="7">
        <v>44.6</v>
      </c>
      <c r="H192" s="7">
        <v>93.7</v>
      </c>
      <c r="I192" s="12">
        <v>69.099999999999994</v>
      </c>
      <c r="J192" s="13" t="s">
        <v>29</v>
      </c>
      <c r="K192" s="13" t="s">
        <v>36</v>
      </c>
      <c r="L192">
        <v>28</v>
      </c>
      <c r="M192">
        <v>8372</v>
      </c>
      <c r="N192" s="15">
        <f>O192/100</f>
        <v>0.71400000000000008</v>
      </c>
      <c r="O192" s="14">
        <v>71.400000000000006</v>
      </c>
      <c r="P192">
        <v>65.7</v>
      </c>
      <c r="Q192">
        <v>0.79</v>
      </c>
      <c r="R192">
        <v>0.94</v>
      </c>
      <c r="S192">
        <v>0</v>
      </c>
      <c r="T192" s="15">
        <f t="shared" si="7"/>
        <v>0.34499999999999997</v>
      </c>
      <c r="U192">
        <v>34.5</v>
      </c>
      <c r="V192">
        <v>62</v>
      </c>
      <c r="W192" s="12">
        <v>7.4</v>
      </c>
      <c r="X192" s="6">
        <v>156</v>
      </c>
      <c r="Y192" s="11">
        <f>VLOOKUP(B192,calculo!$C$5:$D$29,2,FALSE)</f>
        <v>0.14460949196571371</v>
      </c>
      <c r="Z192" s="11">
        <f>VLOOKUP(B192,calculo!$C$5:$E$29,3,FALSE)</f>
        <v>0.20582061417956043</v>
      </c>
      <c r="AA192" s="12">
        <f t="shared" si="8"/>
        <v>713.0044843049327</v>
      </c>
    </row>
    <row r="193" spans="1:27">
      <c r="A193">
        <v>2025</v>
      </c>
      <c r="B193" s="13" t="s">
        <v>51</v>
      </c>
      <c r="C193" s="13" t="s">
        <v>38</v>
      </c>
      <c r="D193" s="12">
        <v>36.4</v>
      </c>
      <c r="E193" s="17">
        <f t="shared" si="6"/>
        <v>36400</v>
      </c>
      <c r="F193" s="12">
        <v>4000.9</v>
      </c>
      <c r="G193" s="7">
        <v>22.5</v>
      </c>
      <c r="H193" s="7">
        <v>54.4</v>
      </c>
      <c r="I193" s="12">
        <v>34.6</v>
      </c>
      <c r="J193" s="13" t="s">
        <v>35</v>
      </c>
      <c r="K193" s="13" t="s">
        <v>36</v>
      </c>
      <c r="L193">
        <v>15</v>
      </c>
      <c r="M193">
        <v>4200</v>
      </c>
      <c r="N193" s="15">
        <f>O193/100</f>
        <v>0.89500000000000002</v>
      </c>
      <c r="O193" s="14">
        <v>89.5</v>
      </c>
      <c r="P193">
        <v>95.8</v>
      </c>
      <c r="Q193">
        <v>0.91</v>
      </c>
      <c r="R193">
        <v>1</v>
      </c>
      <c r="S193">
        <v>0</v>
      </c>
      <c r="T193" s="15">
        <f t="shared" si="7"/>
        <v>0.33</v>
      </c>
      <c r="U193">
        <v>33</v>
      </c>
      <c r="V193">
        <v>65</v>
      </c>
      <c r="W193" s="12">
        <v>2.7</v>
      </c>
      <c r="X193" s="6">
        <v>26</v>
      </c>
      <c r="Y193" s="11">
        <f>VLOOKUP(B193,calculo!$C$5:$D$29,2,FALSE)</f>
        <v>0.14460949196571371</v>
      </c>
      <c r="Z193" s="11">
        <f>VLOOKUP(B193,calculo!$C$5:$E$29,3,FALSE)</f>
        <v>0.20582061417956043</v>
      </c>
      <c r="AA193" s="12">
        <f t="shared" si="8"/>
        <v>1617.7777777777778</v>
      </c>
    </row>
    <row r="194" spans="1:27">
      <c r="A194">
        <v>2010</v>
      </c>
      <c r="B194" s="13" t="s">
        <v>52</v>
      </c>
      <c r="C194" s="13" t="s">
        <v>42</v>
      </c>
      <c r="D194" s="12">
        <v>14.29</v>
      </c>
      <c r="E194" s="17">
        <f t="shared" si="6"/>
        <v>14290</v>
      </c>
      <c r="F194" s="12">
        <v>1417.2</v>
      </c>
      <c r="G194" s="7">
        <v>19.5</v>
      </c>
      <c r="H194" s="7">
        <v>48.5</v>
      </c>
      <c r="I194" s="12">
        <v>92.7</v>
      </c>
      <c r="J194" s="13" t="s">
        <v>34</v>
      </c>
      <c r="K194" s="13" t="s">
        <v>32</v>
      </c>
      <c r="L194">
        <v>66</v>
      </c>
      <c r="M194">
        <v>17490</v>
      </c>
      <c r="N194" s="15">
        <f>O194/100</f>
        <v>0.91299999999999992</v>
      </c>
      <c r="O194" s="14">
        <v>91.3</v>
      </c>
      <c r="P194">
        <v>52.2</v>
      </c>
      <c r="Q194">
        <v>0.11</v>
      </c>
      <c r="R194">
        <v>0.1</v>
      </c>
      <c r="S194">
        <v>0</v>
      </c>
      <c r="T194" s="15">
        <f t="shared" si="7"/>
        <v>9.3000000000000013E-2</v>
      </c>
      <c r="U194">
        <v>9.3000000000000007</v>
      </c>
      <c r="V194">
        <v>20</v>
      </c>
      <c r="W194" s="12">
        <v>17.2</v>
      </c>
      <c r="X194" s="6">
        <v>474</v>
      </c>
      <c r="Y194" s="11">
        <f>VLOOKUP(B194,calculo!$C$5:$D$29,2,FALSE)</f>
        <v>0.15256486027730398</v>
      </c>
      <c r="Z194" s="11">
        <f>VLOOKUP(B194,calculo!$C$5:$E$29,3,FALSE)</f>
        <v>0.16977368615490174</v>
      </c>
      <c r="AA194" s="12">
        <f t="shared" si="8"/>
        <v>732.82051282051282</v>
      </c>
    </row>
    <row r="195" spans="1:27">
      <c r="A195">
        <v>2011</v>
      </c>
      <c r="B195" s="13" t="s">
        <v>52</v>
      </c>
      <c r="C195" s="13" t="s">
        <v>42</v>
      </c>
      <c r="D195" s="12">
        <v>16.47</v>
      </c>
      <c r="E195" s="17">
        <f t="shared" ref="E195:E258" si="9">D195*1000</f>
        <v>16470</v>
      </c>
      <c r="F195" s="12">
        <v>2082.4</v>
      </c>
      <c r="G195" s="7">
        <v>35.299999999999997</v>
      </c>
      <c r="H195" s="7">
        <v>120.3</v>
      </c>
      <c r="I195" s="12">
        <v>54.1</v>
      </c>
      <c r="J195" s="13" t="s">
        <v>35</v>
      </c>
      <c r="K195" s="13" t="s">
        <v>36</v>
      </c>
      <c r="L195">
        <v>77</v>
      </c>
      <c r="M195">
        <v>9317</v>
      </c>
      <c r="N195" s="15">
        <f>O195/100</f>
        <v>0.88099999999999989</v>
      </c>
      <c r="O195" s="14">
        <v>88.1</v>
      </c>
      <c r="P195">
        <v>92</v>
      </c>
      <c r="Q195">
        <v>0.16</v>
      </c>
      <c r="R195">
        <v>0.16</v>
      </c>
      <c r="S195">
        <v>0</v>
      </c>
      <c r="T195" s="15">
        <f t="shared" ref="T195:T258" si="10">U195/100</f>
        <v>0.11</v>
      </c>
      <c r="U195">
        <v>11</v>
      </c>
      <c r="V195">
        <v>23</v>
      </c>
      <c r="W195" s="12">
        <v>28</v>
      </c>
      <c r="X195" s="6">
        <v>156</v>
      </c>
      <c r="Y195" s="11">
        <f>VLOOKUP(B195,calculo!$C$5:$D$29,2,FALSE)</f>
        <v>0.15256486027730398</v>
      </c>
      <c r="Z195" s="11">
        <f>VLOOKUP(B195,calculo!$C$5:$E$29,3,FALSE)</f>
        <v>0.16977368615490174</v>
      </c>
      <c r="AA195" s="12">
        <f t="shared" ref="AA195:AA258" si="11">E195/G195</f>
        <v>466.57223796033998</v>
      </c>
    </row>
    <row r="196" spans="1:27">
      <c r="A196">
        <v>2012</v>
      </c>
      <c r="B196" s="13" t="s">
        <v>52</v>
      </c>
      <c r="C196" s="13" t="s">
        <v>42</v>
      </c>
      <c r="D196" s="12">
        <v>18.98</v>
      </c>
      <c r="E196" s="17">
        <f t="shared" si="9"/>
        <v>18980</v>
      </c>
      <c r="F196" s="12">
        <v>1007.5</v>
      </c>
      <c r="G196" s="7">
        <v>58.3</v>
      </c>
      <c r="H196" s="7">
        <v>113.3</v>
      </c>
      <c r="I196" s="12">
        <v>118.1</v>
      </c>
      <c r="J196" s="13" t="s">
        <v>34</v>
      </c>
      <c r="K196" s="13" t="s">
        <v>32</v>
      </c>
      <c r="L196">
        <v>118</v>
      </c>
      <c r="M196">
        <v>32214</v>
      </c>
      <c r="N196" s="15">
        <f>O196/100</f>
        <v>0.81200000000000006</v>
      </c>
      <c r="O196" s="14">
        <v>81.2</v>
      </c>
      <c r="P196">
        <v>35.1</v>
      </c>
      <c r="Q196">
        <v>0.04</v>
      </c>
      <c r="R196">
        <v>0.22</v>
      </c>
      <c r="S196">
        <v>0</v>
      </c>
      <c r="T196" s="15">
        <f t="shared" si="10"/>
        <v>0.11599999999999999</v>
      </c>
      <c r="U196">
        <v>11.6</v>
      </c>
      <c r="V196">
        <v>26</v>
      </c>
      <c r="W196" s="12">
        <v>45.1</v>
      </c>
      <c r="X196" s="6">
        <v>135</v>
      </c>
      <c r="Y196" s="11">
        <f>VLOOKUP(B196,calculo!$C$5:$D$29,2,FALSE)</f>
        <v>0.15256486027730398</v>
      </c>
      <c r="Z196" s="11">
        <f>VLOOKUP(B196,calculo!$C$5:$E$29,3,FALSE)</f>
        <v>0.16977368615490174</v>
      </c>
      <c r="AA196" s="12">
        <f t="shared" si="11"/>
        <v>325.55746140651803</v>
      </c>
    </row>
    <row r="197" spans="1:27">
      <c r="A197">
        <v>2013</v>
      </c>
      <c r="B197" s="13" t="s">
        <v>52</v>
      </c>
      <c r="C197" s="13" t="s">
        <v>42</v>
      </c>
      <c r="D197" s="12">
        <v>21.88</v>
      </c>
      <c r="E197" s="17">
        <f t="shared" si="9"/>
        <v>21880</v>
      </c>
      <c r="F197" s="12">
        <v>1823.2</v>
      </c>
      <c r="G197" s="7">
        <v>44.5</v>
      </c>
      <c r="H197" s="7">
        <v>113.8</v>
      </c>
      <c r="I197" s="12">
        <v>125.2</v>
      </c>
      <c r="J197" s="13" t="s">
        <v>33</v>
      </c>
      <c r="K197" s="13" t="s">
        <v>36</v>
      </c>
      <c r="L197">
        <v>39</v>
      </c>
      <c r="M197">
        <v>2652</v>
      </c>
      <c r="N197" s="15">
        <f>O197/100</f>
        <v>0.54</v>
      </c>
      <c r="O197" s="14">
        <v>54</v>
      </c>
      <c r="P197">
        <v>25.2</v>
      </c>
      <c r="Q197">
        <v>0.15</v>
      </c>
      <c r="R197">
        <v>0.28000000000000003</v>
      </c>
      <c r="S197">
        <v>0</v>
      </c>
      <c r="T197" s="15">
        <f t="shared" si="10"/>
        <v>0.16</v>
      </c>
      <c r="U197">
        <v>16</v>
      </c>
      <c r="V197">
        <v>29</v>
      </c>
      <c r="W197" s="12">
        <v>7.8</v>
      </c>
      <c r="X197" s="6">
        <v>76</v>
      </c>
      <c r="Y197" s="11">
        <f>VLOOKUP(B197,calculo!$C$5:$D$29,2,FALSE)</f>
        <v>0.15256486027730398</v>
      </c>
      <c r="Z197" s="11">
        <f>VLOOKUP(B197,calculo!$C$5:$E$29,3,FALSE)</f>
        <v>0.16977368615490174</v>
      </c>
      <c r="AA197" s="12">
        <f t="shared" si="11"/>
        <v>491.68539325842698</v>
      </c>
    </row>
    <row r="198" spans="1:27">
      <c r="A198">
        <v>2014</v>
      </c>
      <c r="B198" s="13" t="s">
        <v>52</v>
      </c>
      <c r="C198" s="13" t="s">
        <v>42</v>
      </c>
      <c r="D198" s="12">
        <v>25.21</v>
      </c>
      <c r="E198" s="17">
        <f t="shared" si="9"/>
        <v>25210</v>
      </c>
      <c r="F198" s="12">
        <v>3127.7</v>
      </c>
      <c r="G198" s="7">
        <v>10.3</v>
      </c>
      <c r="H198" s="7">
        <v>30.9</v>
      </c>
      <c r="I198" s="12">
        <v>122.3</v>
      </c>
      <c r="J198" s="13" t="s">
        <v>34</v>
      </c>
      <c r="K198" s="13" t="s">
        <v>30</v>
      </c>
      <c r="L198">
        <v>77</v>
      </c>
      <c r="M198">
        <v>13552</v>
      </c>
      <c r="N198" s="15">
        <f>O198/100</f>
        <v>0.54700000000000004</v>
      </c>
      <c r="O198" s="14">
        <v>54.7</v>
      </c>
      <c r="P198">
        <v>54.9</v>
      </c>
      <c r="Q198">
        <v>0.14000000000000001</v>
      </c>
      <c r="R198">
        <v>0.34</v>
      </c>
      <c r="S198">
        <v>0</v>
      </c>
      <c r="T198" s="15">
        <f t="shared" si="10"/>
        <v>0.17699999999999999</v>
      </c>
      <c r="U198">
        <v>17.7</v>
      </c>
      <c r="V198">
        <v>32</v>
      </c>
      <c r="W198" s="12">
        <v>28.6</v>
      </c>
      <c r="X198" s="6">
        <v>299</v>
      </c>
      <c r="Y198" s="11">
        <f>VLOOKUP(B198,calculo!$C$5:$D$29,2,FALSE)</f>
        <v>0.15256486027730398</v>
      </c>
      <c r="Z198" s="11">
        <f>VLOOKUP(B198,calculo!$C$5:$E$29,3,FALSE)</f>
        <v>0.16977368615490174</v>
      </c>
      <c r="AA198" s="12">
        <f t="shared" si="11"/>
        <v>2447.5728155339802</v>
      </c>
    </row>
    <row r="199" spans="1:27">
      <c r="A199">
        <v>2015</v>
      </c>
      <c r="B199" s="13" t="s">
        <v>52</v>
      </c>
      <c r="C199" s="13" t="s">
        <v>42</v>
      </c>
      <c r="D199" s="12">
        <v>29.06</v>
      </c>
      <c r="E199" s="17">
        <f t="shared" si="9"/>
        <v>29060</v>
      </c>
      <c r="F199" s="12">
        <v>2636.2</v>
      </c>
      <c r="G199" s="7">
        <v>5.8</v>
      </c>
      <c r="H199" s="7">
        <v>12.8</v>
      </c>
      <c r="I199" s="12">
        <v>43.3</v>
      </c>
      <c r="J199" s="13" t="s">
        <v>33</v>
      </c>
      <c r="K199" s="13" t="s">
        <v>36</v>
      </c>
      <c r="L199">
        <v>64</v>
      </c>
      <c r="M199">
        <v>16256</v>
      </c>
      <c r="N199" s="15">
        <f>O199/100</f>
        <v>0.93</v>
      </c>
      <c r="O199" s="14">
        <v>93</v>
      </c>
      <c r="P199">
        <v>64.2</v>
      </c>
      <c r="Q199">
        <v>0.09</v>
      </c>
      <c r="R199">
        <v>0.4</v>
      </c>
      <c r="S199">
        <v>0</v>
      </c>
      <c r="T199" s="15">
        <f t="shared" si="10"/>
        <v>0.16800000000000001</v>
      </c>
      <c r="U199">
        <v>16.8</v>
      </c>
      <c r="V199">
        <v>35</v>
      </c>
      <c r="W199" s="12">
        <v>24.8</v>
      </c>
      <c r="X199" s="6">
        <v>25</v>
      </c>
      <c r="Y199" s="11">
        <f>VLOOKUP(B199,calculo!$C$5:$D$29,2,FALSE)</f>
        <v>0.15256486027730398</v>
      </c>
      <c r="Z199" s="11">
        <f>VLOOKUP(B199,calculo!$C$5:$E$29,3,FALSE)</f>
        <v>0.16977368615490174</v>
      </c>
      <c r="AA199" s="12">
        <f t="shared" si="11"/>
        <v>5010.3448275862074</v>
      </c>
    </row>
    <row r="200" spans="1:27">
      <c r="A200">
        <v>2016</v>
      </c>
      <c r="B200" s="13" t="s">
        <v>52</v>
      </c>
      <c r="C200" s="13" t="s">
        <v>42</v>
      </c>
      <c r="D200" s="12">
        <v>33.5</v>
      </c>
      <c r="E200" s="17">
        <f t="shared" si="9"/>
        <v>33500</v>
      </c>
      <c r="F200" s="12">
        <v>4495.3</v>
      </c>
      <c r="G200" s="7">
        <v>16</v>
      </c>
      <c r="H200" s="7">
        <v>39.4</v>
      </c>
      <c r="I200" s="12">
        <v>47.4</v>
      </c>
      <c r="J200" s="13" t="s">
        <v>31</v>
      </c>
      <c r="K200" s="13" t="s">
        <v>30</v>
      </c>
      <c r="L200">
        <v>94</v>
      </c>
      <c r="M200">
        <v>5828</v>
      </c>
      <c r="N200" s="15">
        <f>O200/100</f>
        <v>0.626</v>
      </c>
      <c r="O200" s="14">
        <v>62.6</v>
      </c>
      <c r="P200">
        <v>85.3</v>
      </c>
      <c r="Q200">
        <v>0.14000000000000001</v>
      </c>
      <c r="R200">
        <v>0.46</v>
      </c>
      <c r="S200">
        <v>0</v>
      </c>
      <c r="T200" s="15">
        <f t="shared" si="10"/>
        <v>0.20699999999999999</v>
      </c>
      <c r="U200">
        <v>20.7</v>
      </c>
      <c r="V200">
        <v>38</v>
      </c>
      <c r="W200" s="12">
        <v>29.8</v>
      </c>
      <c r="X200" s="6">
        <v>471</v>
      </c>
      <c r="Y200" s="11">
        <f>VLOOKUP(B200,calculo!$C$5:$D$29,2,FALSE)</f>
        <v>0.15256486027730398</v>
      </c>
      <c r="Z200" s="11">
        <f>VLOOKUP(B200,calculo!$C$5:$E$29,3,FALSE)</f>
        <v>0.16977368615490174</v>
      </c>
      <c r="AA200" s="12">
        <f t="shared" si="11"/>
        <v>2093.75</v>
      </c>
    </row>
    <row r="201" spans="1:27">
      <c r="A201">
        <v>2017</v>
      </c>
      <c r="B201" s="13" t="s">
        <v>52</v>
      </c>
      <c r="C201" s="13" t="s">
        <v>42</v>
      </c>
      <c r="D201" s="12">
        <v>38.61</v>
      </c>
      <c r="E201" s="17">
        <f t="shared" si="9"/>
        <v>38610</v>
      </c>
      <c r="F201" s="12">
        <v>2015.3</v>
      </c>
      <c r="G201" s="7">
        <v>35.799999999999997</v>
      </c>
      <c r="H201" s="7">
        <v>114.1</v>
      </c>
      <c r="I201" s="12">
        <v>95.9</v>
      </c>
      <c r="J201" s="13" t="s">
        <v>34</v>
      </c>
      <c r="K201" s="13" t="s">
        <v>36</v>
      </c>
      <c r="L201">
        <v>34</v>
      </c>
      <c r="M201">
        <v>7820</v>
      </c>
      <c r="N201" s="15">
        <f>O201/100</f>
        <v>0.68700000000000006</v>
      </c>
      <c r="O201" s="14">
        <v>68.7</v>
      </c>
      <c r="P201">
        <v>82</v>
      </c>
      <c r="Q201">
        <v>0.24</v>
      </c>
      <c r="R201">
        <v>0.52</v>
      </c>
      <c r="S201">
        <v>0</v>
      </c>
      <c r="T201" s="15">
        <f t="shared" si="10"/>
        <v>0.20300000000000001</v>
      </c>
      <c r="U201">
        <v>20.3</v>
      </c>
      <c r="V201">
        <v>41</v>
      </c>
      <c r="W201" s="12">
        <v>5.4</v>
      </c>
      <c r="X201" s="6">
        <v>40</v>
      </c>
      <c r="Y201" s="11">
        <f>VLOOKUP(B201,calculo!$C$5:$D$29,2,FALSE)</f>
        <v>0.15256486027730398</v>
      </c>
      <c r="Z201" s="11">
        <f>VLOOKUP(B201,calculo!$C$5:$E$29,3,FALSE)</f>
        <v>0.16977368615490174</v>
      </c>
      <c r="AA201" s="12">
        <f t="shared" si="11"/>
        <v>1078.4916201117319</v>
      </c>
    </row>
    <row r="202" spans="1:27">
      <c r="A202">
        <v>2018</v>
      </c>
      <c r="B202" s="13" t="s">
        <v>52</v>
      </c>
      <c r="C202" s="13" t="s">
        <v>42</v>
      </c>
      <c r="D202" s="12">
        <v>44.5</v>
      </c>
      <c r="E202" s="17">
        <f t="shared" si="9"/>
        <v>44500</v>
      </c>
      <c r="F202" s="12">
        <v>4224.3</v>
      </c>
      <c r="G202" s="7">
        <v>36</v>
      </c>
      <c r="H202" s="7">
        <v>98.9</v>
      </c>
      <c r="I202" s="12">
        <v>38.6</v>
      </c>
      <c r="J202" s="13" t="s">
        <v>31</v>
      </c>
      <c r="K202" s="13" t="s">
        <v>30</v>
      </c>
      <c r="L202">
        <v>36</v>
      </c>
      <c r="M202">
        <v>5868</v>
      </c>
      <c r="N202" s="15">
        <f>O202/100</f>
        <v>0.87</v>
      </c>
      <c r="O202" s="14">
        <v>87</v>
      </c>
      <c r="P202">
        <v>85.3</v>
      </c>
      <c r="Q202">
        <v>0.34</v>
      </c>
      <c r="R202">
        <v>0.57999999999999996</v>
      </c>
      <c r="S202">
        <v>0</v>
      </c>
      <c r="T202" s="15">
        <f t="shared" si="10"/>
        <v>0.253</v>
      </c>
      <c r="U202">
        <v>25.3</v>
      </c>
      <c r="V202">
        <v>44</v>
      </c>
      <c r="W202" s="12">
        <v>7.6</v>
      </c>
      <c r="X202" s="6">
        <v>31</v>
      </c>
      <c r="Y202" s="11">
        <f>VLOOKUP(B202,calculo!$C$5:$D$29,2,FALSE)</f>
        <v>0.15256486027730398</v>
      </c>
      <c r="Z202" s="11">
        <f>VLOOKUP(B202,calculo!$C$5:$E$29,3,FALSE)</f>
        <v>0.16977368615490174</v>
      </c>
      <c r="AA202" s="12">
        <f t="shared" si="11"/>
        <v>1236.1111111111111</v>
      </c>
    </row>
    <row r="203" spans="1:27">
      <c r="A203">
        <v>2019</v>
      </c>
      <c r="B203" s="13" t="s">
        <v>52</v>
      </c>
      <c r="C203" s="13" t="s">
        <v>42</v>
      </c>
      <c r="D203" s="12">
        <v>51.29</v>
      </c>
      <c r="E203" s="17">
        <f t="shared" si="9"/>
        <v>51290</v>
      </c>
      <c r="F203" s="12">
        <v>7266.2</v>
      </c>
      <c r="G203" s="7">
        <v>43.8</v>
      </c>
      <c r="H203" s="7">
        <v>100.9</v>
      </c>
      <c r="I203" s="12">
        <v>49</v>
      </c>
      <c r="J203" s="13" t="s">
        <v>34</v>
      </c>
      <c r="K203" s="13" t="s">
        <v>36</v>
      </c>
      <c r="L203">
        <v>38</v>
      </c>
      <c r="M203">
        <v>4978</v>
      </c>
      <c r="N203" s="15">
        <f>O203/100</f>
        <v>0.83700000000000008</v>
      </c>
      <c r="O203" s="14">
        <v>83.7</v>
      </c>
      <c r="P203">
        <v>48.8</v>
      </c>
      <c r="Q203">
        <v>0.37</v>
      </c>
      <c r="R203">
        <v>0.64</v>
      </c>
      <c r="S203">
        <v>0</v>
      </c>
      <c r="T203" s="15">
        <f t="shared" si="10"/>
        <v>0.253</v>
      </c>
      <c r="U203">
        <v>25.3</v>
      </c>
      <c r="V203">
        <v>47</v>
      </c>
      <c r="W203" s="12">
        <v>13.5</v>
      </c>
      <c r="X203" s="6">
        <v>488</v>
      </c>
      <c r="Y203" s="11">
        <f>VLOOKUP(B203,calculo!$C$5:$D$29,2,FALSE)</f>
        <v>0.15256486027730398</v>
      </c>
      <c r="Z203" s="11">
        <f>VLOOKUP(B203,calculo!$C$5:$E$29,3,FALSE)</f>
        <v>0.16977368615490174</v>
      </c>
      <c r="AA203" s="12">
        <f t="shared" si="11"/>
        <v>1171.0045662100458</v>
      </c>
    </row>
    <row r="204" spans="1:27">
      <c r="A204">
        <v>2020</v>
      </c>
      <c r="B204" s="13" t="s">
        <v>52</v>
      </c>
      <c r="C204" s="13" t="s">
        <v>42</v>
      </c>
      <c r="D204" s="12">
        <v>59.11</v>
      </c>
      <c r="E204" s="17">
        <f t="shared" si="9"/>
        <v>59110</v>
      </c>
      <c r="F204" s="12">
        <v>6463.7</v>
      </c>
      <c r="G204" s="7">
        <v>54</v>
      </c>
      <c r="H204" s="7">
        <v>143.9</v>
      </c>
      <c r="I204" s="12">
        <v>86</v>
      </c>
      <c r="J204" s="13" t="s">
        <v>29</v>
      </c>
      <c r="K204" s="13" t="s">
        <v>32</v>
      </c>
      <c r="L204">
        <v>10</v>
      </c>
      <c r="M204">
        <v>1180</v>
      </c>
      <c r="N204" s="15">
        <f>O204/100</f>
        <v>0.872</v>
      </c>
      <c r="O204" s="14">
        <v>87.2</v>
      </c>
      <c r="P204">
        <v>34.700000000000003</v>
      </c>
      <c r="Q204">
        <v>0.54</v>
      </c>
      <c r="R204">
        <v>0.98</v>
      </c>
      <c r="S204">
        <v>0.28000000000000003</v>
      </c>
      <c r="T204" s="15">
        <f t="shared" si="10"/>
        <v>0.28499999999999998</v>
      </c>
      <c r="U204">
        <v>28.5</v>
      </c>
      <c r="V204">
        <v>50</v>
      </c>
      <c r="W204" s="12">
        <v>3.9</v>
      </c>
      <c r="X204" s="6">
        <v>146</v>
      </c>
      <c r="Y204" s="11">
        <f>VLOOKUP(B204,calculo!$C$5:$D$29,2,FALSE)</f>
        <v>0.15256486027730398</v>
      </c>
      <c r="Z204" s="11">
        <f>VLOOKUP(B204,calculo!$C$5:$E$29,3,FALSE)</f>
        <v>0.16977368615490174</v>
      </c>
      <c r="AA204" s="12">
        <f t="shared" si="11"/>
        <v>1094.6296296296296</v>
      </c>
    </row>
    <row r="205" spans="1:27">
      <c r="A205">
        <v>2021</v>
      </c>
      <c r="B205" s="13" t="s">
        <v>52</v>
      </c>
      <c r="C205" s="13" t="s">
        <v>42</v>
      </c>
      <c r="D205" s="12">
        <v>68.13</v>
      </c>
      <c r="E205" s="17">
        <f t="shared" si="9"/>
        <v>68130</v>
      </c>
      <c r="F205" s="12">
        <v>9482.9</v>
      </c>
      <c r="G205" s="7">
        <v>27.2</v>
      </c>
      <c r="H205" s="7">
        <v>90.2</v>
      </c>
      <c r="I205" s="12">
        <v>75.3</v>
      </c>
      <c r="J205" s="13" t="s">
        <v>33</v>
      </c>
      <c r="K205" s="13" t="s">
        <v>32</v>
      </c>
      <c r="L205">
        <v>80</v>
      </c>
      <c r="M205">
        <v>18240</v>
      </c>
      <c r="N205" s="15">
        <f>O205/100</f>
        <v>0.72199999999999998</v>
      </c>
      <c r="O205" s="14">
        <v>72.2</v>
      </c>
      <c r="P205">
        <v>54.1</v>
      </c>
      <c r="Q205">
        <v>0.63</v>
      </c>
      <c r="R205">
        <v>1.3</v>
      </c>
      <c r="S205">
        <v>0.54</v>
      </c>
      <c r="T205" s="15">
        <f t="shared" si="10"/>
        <v>0.27</v>
      </c>
      <c r="U205">
        <v>27</v>
      </c>
      <c r="V205">
        <v>53</v>
      </c>
      <c r="W205" s="12">
        <v>13.8</v>
      </c>
      <c r="X205" s="6">
        <v>484</v>
      </c>
      <c r="Y205" s="11">
        <f>VLOOKUP(B205,calculo!$C$5:$D$29,2,FALSE)</f>
        <v>0.15256486027730398</v>
      </c>
      <c r="Z205" s="11">
        <f>VLOOKUP(B205,calculo!$C$5:$E$29,3,FALSE)</f>
        <v>0.16977368615490174</v>
      </c>
      <c r="AA205" s="12">
        <f t="shared" si="11"/>
        <v>2504.7794117647059</v>
      </c>
    </row>
    <row r="206" spans="1:27">
      <c r="A206">
        <v>2022</v>
      </c>
      <c r="B206" s="13" t="s">
        <v>52</v>
      </c>
      <c r="C206" s="13" t="s">
        <v>42</v>
      </c>
      <c r="D206" s="12">
        <v>78.53</v>
      </c>
      <c r="E206" s="17">
        <f t="shared" si="9"/>
        <v>78530</v>
      </c>
      <c r="F206" s="12">
        <v>5018.7</v>
      </c>
      <c r="G206" s="7">
        <v>16.7</v>
      </c>
      <c r="H206" s="7">
        <v>54.4</v>
      </c>
      <c r="I206" s="12">
        <v>51.9</v>
      </c>
      <c r="J206" s="13" t="s">
        <v>31</v>
      </c>
      <c r="K206" s="13" t="s">
        <v>32</v>
      </c>
      <c r="L206">
        <v>28</v>
      </c>
      <c r="M206">
        <v>4396</v>
      </c>
      <c r="N206" s="15">
        <f>O206/100</f>
        <v>0.92500000000000004</v>
      </c>
      <c r="O206" s="14">
        <v>92.5</v>
      </c>
      <c r="P206">
        <v>45.2</v>
      </c>
      <c r="Q206">
        <v>0.68</v>
      </c>
      <c r="R206">
        <v>0.82</v>
      </c>
      <c r="S206">
        <v>0</v>
      </c>
      <c r="T206" s="15">
        <f t="shared" si="10"/>
        <v>0.318</v>
      </c>
      <c r="U206">
        <v>31.8</v>
      </c>
      <c r="V206">
        <v>56</v>
      </c>
      <c r="W206" s="12">
        <v>5.0999999999999996</v>
      </c>
      <c r="X206" s="6">
        <v>349</v>
      </c>
      <c r="Y206" s="11">
        <f>VLOOKUP(B206,calculo!$C$5:$D$29,2,FALSE)</f>
        <v>0.15256486027730398</v>
      </c>
      <c r="Z206" s="11">
        <f>VLOOKUP(B206,calculo!$C$5:$E$29,3,FALSE)</f>
        <v>0.16977368615490174</v>
      </c>
      <c r="AA206" s="12">
        <f t="shared" si="11"/>
        <v>4702.3952095808381</v>
      </c>
    </row>
    <row r="207" spans="1:27">
      <c r="A207">
        <v>2023</v>
      </c>
      <c r="B207" s="13" t="s">
        <v>52</v>
      </c>
      <c r="C207" s="13" t="s">
        <v>42</v>
      </c>
      <c r="D207" s="12">
        <v>90.51</v>
      </c>
      <c r="E207" s="17">
        <f t="shared" si="9"/>
        <v>90510</v>
      </c>
      <c r="F207" s="12">
        <v>4961.5</v>
      </c>
      <c r="G207" s="7">
        <v>22.9</v>
      </c>
      <c r="H207" s="7">
        <v>78.099999999999994</v>
      </c>
      <c r="I207" s="12">
        <v>90</v>
      </c>
      <c r="J207" s="13" t="s">
        <v>33</v>
      </c>
      <c r="K207" s="13" t="s">
        <v>30</v>
      </c>
      <c r="L207">
        <v>45</v>
      </c>
      <c r="M207">
        <v>6660</v>
      </c>
      <c r="N207" s="15">
        <f>O207/100</f>
        <v>0.84699999999999998</v>
      </c>
      <c r="O207" s="14">
        <v>84.7</v>
      </c>
      <c r="P207">
        <v>25.2</v>
      </c>
      <c r="Q207">
        <v>0.77</v>
      </c>
      <c r="R207">
        <v>0.88</v>
      </c>
      <c r="S207">
        <v>0</v>
      </c>
      <c r="T207" s="15">
        <f t="shared" si="10"/>
        <v>0.34100000000000003</v>
      </c>
      <c r="U207">
        <v>34.1</v>
      </c>
      <c r="V207">
        <v>59</v>
      </c>
      <c r="W207" s="12">
        <v>11.9</v>
      </c>
      <c r="X207" s="6">
        <v>464</v>
      </c>
      <c r="Y207" s="11">
        <f>VLOOKUP(B207,calculo!$C$5:$D$29,2,FALSE)</f>
        <v>0.15256486027730398</v>
      </c>
      <c r="Z207" s="11">
        <f>VLOOKUP(B207,calculo!$C$5:$E$29,3,FALSE)</f>
        <v>0.16977368615490174</v>
      </c>
      <c r="AA207" s="12">
        <f t="shared" si="11"/>
        <v>3952.4017467248909</v>
      </c>
    </row>
    <row r="208" spans="1:27">
      <c r="A208">
        <v>2024</v>
      </c>
      <c r="B208" s="13" t="s">
        <v>52</v>
      </c>
      <c r="C208" s="13" t="s">
        <v>42</v>
      </c>
      <c r="D208" s="12">
        <v>104.32</v>
      </c>
      <c r="E208" s="17">
        <f t="shared" si="9"/>
        <v>104320</v>
      </c>
      <c r="F208" s="12">
        <v>13792.6</v>
      </c>
      <c r="G208" s="7">
        <v>51.3</v>
      </c>
      <c r="H208" s="7">
        <v>98.7</v>
      </c>
      <c r="I208" s="12">
        <v>108.9</v>
      </c>
      <c r="J208" s="13" t="s">
        <v>35</v>
      </c>
      <c r="K208" s="13" t="s">
        <v>36</v>
      </c>
      <c r="L208">
        <v>79</v>
      </c>
      <c r="M208">
        <v>8137</v>
      </c>
      <c r="N208" s="15">
        <f>O208/100</f>
        <v>0.83900000000000008</v>
      </c>
      <c r="O208" s="14">
        <v>83.9</v>
      </c>
      <c r="P208">
        <v>27.7</v>
      </c>
      <c r="Q208">
        <v>0.8</v>
      </c>
      <c r="R208">
        <v>0.94</v>
      </c>
      <c r="S208">
        <v>0</v>
      </c>
      <c r="T208" s="15">
        <f t="shared" si="10"/>
        <v>0.36200000000000004</v>
      </c>
      <c r="U208">
        <v>36.200000000000003</v>
      </c>
      <c r="V208">
        <v>62</v>
      </c>
      <c r="W208" s="12">
        <v>29.2</v>
      </c>
      <c r="X208" s="6">
        <v>402</v>
      </c>
      <c r="Y208" s="11">
        <f>VLOOKUP(B208,calculo!$C$5:$D$29,2,FALSE)</f>
        <v>0.15256486027730398</v>
      </c>
      <c r="Z208" s="11">
        <f>VLOOKUP(B208,calculo!$C$5:$E$29,3,FALSE)</f>
        <v>0.16977368615490174</v>
      </c>
      <c r="AA208" s="12">
        <f t="shared" si="11"/>
        <v>2033.5282651072125</v>
      </c>
    </row>
    <row r="209" spans="1:27">
      <c r="A209">
        <v>2025</v>
      </c>
      <c r="B209" s="13" t="s">
        <v>52</v>
      </c>
      <c r="C209" s="13" t="s">
        <v>42</v>
      </c>
      <c r="D209" s="12">
        <v>120.23</v>
      </c>
      <c r="E209" s="17">
        <f t="shared" si="9"/>
        <v>120230</v>
      </c>
      <c r="F209" s="12">
        <v>14892.2</v>
      </c>
      <c r="G209" s="7">
        <v>20.3</v>
      </c>
      <c r="H209" s="7">
        <v>56.6</v>
      </c>
      <c r="I209" s="12">
        <v>77.400000000000006</v>
      </c>
      <c r="J209" s="13" t="s">
        <v>31</v>
      </c>
      <c r="K209" s="13" t="s">
        <v>36</v>
      </c>
      <c r="L209">
        <v>108</v>
      </c>
      <c r="M209">
        <v>11124</v>
      </c>
      <c r="N209" s="15">
        <f>O209/100</f>
        <v>0.629</v>
      </c>
      <c r="O209" s="14">
        <v>62.9</v>
      </c>
      <c r="P209">
        <v>52.6</v>
      </c>
      <c r="Q209">
        <v>0.92</v>
      </c>
      <c r="R209">
        <v>1</v>
      </c>
      <c r="S209">
        <v>0</v>
      </c>
      <c r="T209" s="15">
        <f t="shared" si="10"/>
        <v>0.33200000000000002</v>
      </c>
      <c r="U209">
        <v>33.200000000000003</v>
      </c>
      <c r="V209">
        <v>65</v>
      </c>
      <c r="W209" s="12">
        <v>21.6</v>
      </c>
      <c r="X209" s="6">
        <v>322</v>
      </c>
      <c r="Y209" s="11">
        <f>VLOOKUP(B209,calculo!$C$5:$D$29,2,FALSE)</f>
        <v>0.15256486027730398</v>
      </c>
      <c r="Z209" s="11">
        <f>VLOOKUP(B209,calculo!$C$5:$E$29,3,FALSE)</f>
        <v>0.16977368615490174</v>
      </c>
      <c r="AA209" s="12">
        <f t="shared" si="11"/>
        <v>5922.6600985221676</v>
      </c>
    </row>
    <row r="210" spans="1:27">
      <c r="A210">
        <v>2010</v>
      </c>
      <c r="B210" s="13" t="s">
        <v>53</v>
      </c>
      <c r="C210" s="13" t="s">
        <v>42</v>
      </c>
      <c r="D210" s="12">
        <v>12.53</v>
      </c>
      <c r="E210" s="17">
        <f t="shared" si="9"/>
        <v>12530</v>
      </c>
      <c r="F210" s="12">
        <v>1488.2</v>
      </c>
      <c r="G210" s="7">
        <v>16</v>
      </c>
      <c r="H210" s="7">
        <v>53.3</v>
      </c>
      <c r="I210" s="12">
        <v>130.6</v>
      </c>
      <c r="J210" s="13" t="s">
        <v>34</v>
      </c>
      <c r="K210" s="13" t="s">
        <v>36</v>
      </c>
      <c r="L210">
        <v>85</v>
      </c>
      <c r="M210">
        <v>12665</v>
      </c>
      <c r="N210" s="15">
        <f>O210/100</f>
        <v>0.83099999999999996</v>
      </c>
      <c r="O210" s="14">
        <v>83.1</v>
      </c>
      <c r="P210">
        <v>49.8</v>
      </c>
      <c r="Q210">
        <v>0.05</v>
      </c>
      <c r="R210">
        <v>0.1</v>
      </c>
      <c r="S210">
        <v>0</v>
      </c>
      <c r="T210" s="15">
        <f t="shared" si="10"/>
        <v>0.10199999999999999</v>
      </c>
      <c r="U210">
        <v>10.199999999999999</v>
      </c>
      <c r="V210">
        <v>20</v>
      </c>
      <c r="W210" s="12">
        <v>32.9</v>
      </c>
      <c r="X210" s="6">
        <v>277</v>
      </c>
      <c r="Y210" s="11">
        <f>VLOOKUP(B210,calculo!$C$5:$D$29,2,FALSE)</f>
        <v>0.2063791889231521</v>
      </c>
      <c r="Z210" s="11">
        <f>VLOOKUP(B210,calculo!$C$5:$E$29,3,FALSE)</f>
        <v>0.21133989853836255</v>
      </c>
      <c r="AA210" s="12">
        <f t="shared" si="11"/>
        <v>783.125</v>
      </c>
    </row>
    <row r="211" spans="1:27">
      <c r="A211">
        <v>2011</v>
      </c>
      <c r="B211" s="13" t="s">
        <v>53</v>
      </c>
      <c r="C211" s="13" t="s">
        <v>42</v>
      </c>
      <c r="D211" s="12">
        <v>15.11</v>
      </c>
      <c r="E211" s="17">
        <f t="shared" si="9"/>
        <v>15110</v>
      </c>
      <c r="F211" s="12">
        <v>1456.9</v>
      </c>
      <c r="G211" s="7">
        <v>57.9</v>
      </c>
      <c r="H211" s="7">
        <v>146.9</v>
      </c>
      <c r="I211" s="12">
        <v>111.3</v>
      </c>
      <c r="J211" s="13" t="s">
        <v>35</v>
      </c>
      <c r="K211" s="13" t="s">
        <v>30</v>
      </c>
      <c r="L211">
        <v>88</v>
      </c>
      <c r="M211">
        <v>14784</v>
      </c>
      <c r="N211" s="15">
        <f>O211/100</f>
        <v>0.8859999999999999</v>
      </c>
      <c r="O211" s="14">
        <v>88.6</v>
      </c>
      <c r="P211">
        <v>68.2</v>
      </c>
      <c r="Q211">
        <v>0.1</v>
      </c>
      <c r="R211">
        <v>0.16</v>
      </c>
      <c r="S211">
        <v>0</v>
      </c>
      <c r="T211" s="15">
        <f t="shared" si="10"/>
        <v>0.11699999999999999</v>
      </c>
      <c r="U211">
        <v>11.7</v>
      </c>
      <c r="V211">
        <v>23</v>
      </c>
      <c r="W211" s="12">
        <v>30.2</v>
      </c>
      <c r="X211" s="6">
        <v>179</v>
      </c>
      <c r="Y211" s="11">
        <f>VLOOKUP(B211,calculo!$C$5:$D$29,2,FALSE)</f>
        <v>0.2063791889231521</v>
      </c>
      <c r="Z211" s="11">
        <f>VLOOKUP(B211,calculo!$C$5:$E$29,3,FALSE)</f>
        <v>0.21133989853836255</v>
      </c>
      <c r="AA211" s="12">
        <f t="shared" si="11"/>
        <v>260.96718480138168</v>
      </c>
    </row>
    <row r="212" spans="1:27">
      <c r="A212">
        <v>2012</v>
      </c>
      <c r="B212" s="13" t="s">
        <v>53</v>
      </c>
      <c r="C212" s="13" t="s">
        <v>42</v>
      </c>
      <c r="D212" s="12">
        <v>18.23</v>
      </c>
      <c r="E212" s="17">
        <f t="shared" si="9"/>
        <v>18230</v>
      </c>
      <c r="F212" s="12">
        <v>1130.7</v>
      </c>
      <c r="G212" s="7">
        <v>17.399999999999999</v>
      </c>
      <c r="H212" s="7">
        <v>26.7</v>
      </c>
      <c r="I212" s="12">
        <v>65.2</v>
      </c>
      <c r="J212" s="13" t="s">
        <v>31</v>
      </c>
      <c r="K212" s="13" t="s">
        <v>36</v>
      </c>
      <c r="L212">
        <v>37</v>
      </c>
      <c r="M212">
        <v>3848</v>
      </c>
      <c r="N212" s="15">
        <f>O212/100</f>
        <v>0.66700000000000004</v>
      </c>
      <c r="O212" s="14">
        <v>66.7</v>
      </c>
      <c r="P212">
        <v>25.1</v>
      </c>
      <c r="Q212">
        <v>0.13</v>
      </c>
      <c r="R212">
        <v>0.22</v>
      </c>
      <c r="S212">
        <v>0</v>
      </c>
      <c r="T212" s="15">
        <f t="shared" si="10"/>
        <v>0.14499999999999999</v>
      </c>
      <c r="U212">
        <v>14.5</v>
      </c>
      <c r="V212">
        <v>26</v>
      </c>
      <c r="W212" s="12">
        <v>10.3</v>
      </c>
      <c r="X212" s="6">
        <v>52</v>
      </c>
      <c r="Y212" s="11">
        <f>VLOOKUP(B212,calculo!$C$5:$D$29,2,FALSE)</f>
        <v>0.2063791889231521</v>
      </c>
      <c r="Z212" s="11">
        <f>VLOOKUP(B212,calculo!$C$5:$E$29,3,FALSE)</f>
        <v>0.21133989853836255</v>
      </c>
      <c r="AA212" s="12">
        <f t="shared" si="11"/>
        <v>1047.7011494252874</v>
      </c>
    </row>
    <row r="213" spans="1:27">
      <c r="A213">
        <v>2013</v>
      </c>
      <c r="B213" s="13" t="s">
        <v>53</v>
      </c>
      <c r="C213" s="13" t="s">
        <v>42</v>
      </c>
      <c r="D213" s="12">
        <v>21.99</v>
      </c>
      <c r="E213" s="17">
        <f t="shared" si="9"/>
        <v>21990</v>
      </c>
      <c r="F213" s="12">
        <v>3033.5</v>
      </c>
      <c r="G213" s="7">
        <v>41.2</v>
      </c>
      <c r="H213" s="7">
        <v>106.8</v>
      </c>
      <c r="I213" s="12">
        <v>129.6</v>
      </c>
      <c r="J213" s="13" t="s">
        <v>29</v>
      </c>
      <c r="K213" s="13" t="s">
        <v>30</v>
      </c>
      <c r="L213">
        <v>91</v>
      </c>
      <c r="M213">
        <v>24206</v>
      </c>
      <c r="N213" s="15">
        <f>O213/100</f>
        <v>0.56899999999999995</v>
      </c>
      <c r="O213" s="14">
        <v>56.9</v>
      </c>
      <c r="P213">
        <v>92.5</v>
      </c>
      <c r="Q213">
        <v>0.13</v>
      </c>
      <c r="R213">
        <v>0.28000000000000003</v>
      </c>
      <c r="S213">
        <v>0</v>
      </c>
      <c r="T213" s="15">
        <f t="shared" si="10"/>
        <v>0.19</v>
      </c>
      <c r="U213">
        <v>19</v>
      </c>
      <c r="V213">
        <v>29</v>
      </c>
      <c r="W213" s="12">
        <v>20.3</v>
      </c>
      <c r="X213" s="6">
        <v>422</v>
      </c>
      <c r="Y213" s="11">
        <f>VLOOKUP(B213,calculo!$C$5:$D$29,2,FALSE)</f>
        <v>0.2063791889231521</v>
      </c>
      <c r="Z213" s="11">
        <f>VLOOKUP(B213,calculo!$C$5:$E$29,3,FALSE)</f>
        <v>0.21133989853836255</v>
      </c>
      <c r="AA213" s="12">
        <f t="shared" si="11"/>
        <v>533.73786407766988</v>
      </c>
    </row>
    <row r="214" spans="1:27">
      <c r="A214">
        <v>2014</v>
      </c>
      <c r="B214" s="13" t="s">
        <v>53</v>
      </c>
      <c r="C214" s="13" t="s">
        <v>42</v>
      </c>
      <c r="D214" s="12">
        <v>26.53</v>
      </c>
      <c r="E214" s="17">
        <f t="shared" si="9"/>
        <v>26530</v>
      </c>
      <c r="F214" s="12">
        <v>2611.1</v>
      </c>
      <c r="G214" s="7">
        <v>45.4</v>
      </c>
      <c r="H214" s="7">
        <v>111</v>
      </c>
      <c r="I214" s="12">
        <v>36.9</v>
      </c>
      <c r="J214" s="13" t="s">
        <v>29</v>
      </c>
      <c r="K214" s="13" t="s">
        <v>30</v>
      </c>
      <c r="L214">
        <v>94</v>
      </c>
      <c r="M214">
        <v>14382</v>
      </c>
      <c r="N214" s="15">
        <f>O214/100</f>
        <v>0.79</v>
      </c>
      <c r="O214" s="14">
        <v>79</v>
      </c>
      <c r="P214">
        <v>67.099999999999994</v>
      </c>
      <c r="Q214">
        <v>0.06</v>
      </c>
      <c r="R214">
        <v>0.34</v>
      </c>
      <c r="S214">
        <v>0</v>
      </c>
      <c r="T214" s="15">
        <f t="shared" si="10"/>
        <v>0.151</v>
      </c>
      <c r="U214">
        <v>15.1</v>
      </c>
      <c r="V214">
        <v>32</v>
      </c>
      <c r="W214" s="12">
        <v>36.299999999999997</v>
      </c>
      <c r="X214" s="6">
        <v>287</v>
      </c>
      <c r="Y214" s="11">
        <f>VLOOKUP(B214,calculo!$C$5:$D$29,2,FALSE)</f>
        <v>0.2063791889231521</v>
      </c>
      <c r="Z214" s="11">
        <f>VLOOKUP(B214,calculo!$C$5:$E$29,3,FALSE)</f>
        <v>0.21133989853836255</v>
      </c>
      <c r="AA214" s="12">
        <f t="shared" si="11"/>
        <v>584.36123348017622</v>
      </c>
    </row>
    <row r="215" spans="1:27">
      <c r="A215">
        <v>2015</v>
      </c>
      <c r="B215" s="13" t="s">
        <v>53</v>
      </c>
      <c r="C215" s="13" t="s">
        <v>42</v>
      </c>
      <c r="D215" s="12">
        <v>32.01</v>
      </c>
      <c r="E215" s="17">
        <f t="shared" si="9"/>
        <v>32009.999999999996</v>
      </c>
      <c r="F215" s="12">
        <v>2227.4</v>
      </c>
      <c r="G215" s="7">
        <v>10.199999999999999</v>
      </c>
      <c r="H215" s="7">
        <v>27.9</v>
      </c>
      <c r="I215" s="12">
        <v>123.8</v>
      </c>
      <c r="J215" s="13" t="s">
        <v>29</v>
      </c>
      <c r="K215" s="13" t="s">
        <v>32</v>
      </c>
      <c r="L215">
        <v>49</v>
      </c>
      <c r="M215">
        <v>6468</v>
      </c>
      <c r="N215" s="15">
        <f>O215/100</f>
        <v>0.57399999999999995</v>
      </c>
      <c r="O215" s="14">
        <v>57.4</v>
      </c>
      <c r="P215">
        <v>73.2</v>
      </c>
      <c r="Q215">
        <v>0.04</v>
      </c>
      <c r="R215">
        <v>0.4</v>
      </c>
      <c r="S215">
        <v>0</v>
      </c>
      <c r="T215" s="15">
        <f t="shared" si="10"/>
        <v>0.17100000000000001</v>
      </c>
      <c r="U215">
        <v>17.100000000000001</v>
      </c>
      <c r="V215">
        <v>35</v>
      </c>
      <c r="W215" s="12">
        <v>9.1999999999999993</v>
      </c>
      <c r="X215" s="6">
        <v>330</v>
      </c>
      <c r="Y215" s="11">
        <f>VLOOKUP(B215,calculo!$C$5:$D$29,2,FALSE)</f>
        <v>0.2063791889231521</v>
      </c>
      <c r="Z215" s="11">
        <f>VLOOKUP(B215,calculo!$C$5:$E$29,3,FALSE)</f>
        <v>0.21133989853836255</v>
      </c>
      <c r="AA215" s="12">
        <f t="shared" si="11"/>
        <v>3138.2352941176468</v>
      </c>
    </row>
    <row r="216" spans="1:27">
      <c r="A216">
        <v>2016</v>
      </c>
      <c r="B216" s="13" t="s">
        <v>53</v>
      </c>
      <c r="C216" s="13" t="s">
        <v>42</v>
      </c>
      <c r="D216" s="12">
        <v>38.619999999999997</v>
      </c>
      <c r="E216" s="17">
        <f t="shared" si="9"/>
        <v>38620</v>
      </c>
      <c r="F216" s="12">
        <v>3052.7</v>
      </c>
      <c r="G216" s="7">
        <v>29.3</v>
      </c>
      <c r="H216" s="7">
        <v>96</v>
      </c>
      <c r="I216" s="12">
        <v>114.9</v>
      </c>
      <c r="J216" s="13" t="s">
        <v>29</v>
      </c>
      <c r="K216" s="13" t="s">
        <v>36</v>
      </c>
      <c r="L216">
        <v>118</v>
      </c>
      <c r="M216">
        <v>8850</v>
      </c>
      <c r="N216" s="15">
        <f>O216/100</f>
        <v>0.70099999999999996</v>
      </c>
      <c r="O216" s="14">
        <v>70.099999999999994</v>
      </c>
      <c r="P216">
        <v>35.1</v>
      </c>
      <c r="Q216">
        <v>0.21</v>
      </c>
      <c r="R216">
        <v>0.46</v>
      </c>
      <c r="S216">
        <v>0</v>
      </c>
      <c r="T216" s="15">
        <f t="shared" si="10"/>
        <v>0.19500000000000001</v>
      </c>
      <c r="U216">
        <v>19.5</v>
      </c>
      <c r="V216">
        <v>38</v>
      </c>
      <c r="W216" s="12">
        <v>22</v>
      </c>
      <c r="X216" s="6">
        <v>443</v>
      </c>
      <c r="Y216" s="11">
        <f>VLOOKUP(B216,calculo!$C$5:$D$29,2,FALSE)</f>
        <v>0.2063791889231521</v>
      </c>
      <c r="Z216" s="11">
        <f>VLOOKUP(B216,calculo!$C$5:$E$29,3,FALSE)</f>
        <v>0.21133989853836255</v>
      </c>
      <c r="AA216" s="12">
        <f t="shared" si="11"/>
        <v>1318.0887372013651</v>
      </c>
    </row>
    <row r="217" spans="1:27">
      <c r="A217">
        <v>2017</v>
      </c>
      <c r="B217" s="13" t="s">
        <v>53</v>
      </c>
      <c r="C217" s="13" t="s">
        <v>42</v>
      </c>
      <c r="D217" s="12">
        <v>46.59</v>
      </c>
      <c r="E217" s="17">
        <f t="shared" si="9"/>
        <v>46590</v>
      </c>
      <c r="F217" s="12">
        <v>3979.8</v>
      </c>
      <c r="G217" s="7">
        <v>57</v>
      </c>
      <c r="H217" s="7">
        <v>195.4</v>
      </c>
      <c r="I217" s="12">
        <v>104.5</v>
      </c>
      <c r="J217" s="13" t="s">
        <v>33</v>
      </c>
      <c r="K217" s="13" t="s">
        <v>30</v>
      </c>
      <c r="L217">
        <v>66</v>
      </c>
      <c r="M217">
        <v>8910</v>
      </c>
      <c r="N217" s="15">
        <f>O217/100</f>
        <v>0.69499999999999995</v>
      </c>
      <c r="O217" s="14">
        <v>69.5</v>
      </c>
      <c r="P217">
        <v>28.3</v>
      </c>
      <c r="Q217">
        <v>0.31</v>
      </c>
      <c r="R217">
        <v>0.52</v>
      </c>
      <c r="S217">
        <v>0</v>
      </c>
      <c r="T217" s="15">
        <f t="shared" si="10"/>
        <v>0.20100000000000001</v>
      </c>
      <c r="U217">
        <v>20.100000000000001</v>
      </c>
      <c r="V217">
        <v>41</v>
      </c>
      <c r="W217" s="12">
        <v>22.5</v>
      </c>
      <c r="X217" s="6">
        <v>487</v>
      </c>
      <c r="Y217" s="11">
        <f>VLOOKUP(B217,calculo!$C$5:$D$29,2,FALSE)</f>
        <v>0.2063791889231521</v>
      </c>
      <c r="Z217" s="11">
        <f>VLOOKUP(B217,calculo!$C$5:$E$29,3,FALSE)</f>
        <v>0.21133989853836255</v>
      </c>
      <c r="AA217" s="12">
        <f t="shared" si="11"/>
        <v>817.36842105263156</v>
      </c>
    </row>
    <row r="218" spans="1:27">
      <c r="A218">
        <v>2018</v>
      </c>
      <c r="B218" s="13" t="s">
        <v>53</v>
      </c>
      <c r="C218" s="13" t="s">
        <v>42</v>
      </c>
      <c r="D218" s="12">
        <v>56.2</v>
      </c>
      <c r="E218" s="17">
        <f t="shared" si="9"/>
        <v>56200</v>
      </c>
      <c r="F218" s="12">
        <v>7855.4</v>
      </c>
      <c r="G218" s="7">
        <v>41.1</v>
      </c>
      <c r="H218" s="7">
        <v>72.900000000000006</v>
      </c>
      <c r="I218" s="12">
        <v>149.4</v>
      </c>
      <c r="J218" s="13" t="s">
        <v>31</v>
      </c>
      <c r="K218" s="13" t="s">
        <v>30</v>
      </c>
      <c r="L218">
        <v>54</v>
      </c>
      <c r="M218">
        <v>3240</v>
      </c>
      <c r="N218" s="15">
        <f>O218/100</f>
        <v>0.54899999999999993</v>
      </c>
      <c r="O218" s="14">
        <v>54.9</v>
      </c>
      <c r="P218">
        <v>72.7</v>
      </c>
      <c r="Q218">
        <v>0.34</v>
      </c>
      <c r="R218">
        <v>0.57999999999999996</v>
      </c>
      <c r="S218">
        <v>0</v>
      </c>
      <c r="T218" s="15">
        <f t="shared" si="10"/>
        <v>0.25600000000000001</v>
      </c>
      <c r="U218">
        <v>25.6</v>
      </c>
      <c r="V218">
        <v>44</v>
      </c>
      <c r="W218" s="12">
        <v>13.4</v>
      </c>
      <c r="X218" s="6">
        <v>261</v>
      </c>
      <c r="Y218" s="11">
        <f>VLOOKUP(B218,calculo!$C$5:$D$29,2,FALSE)</f>
        <v>0.2063791889231521</v>
      </c>
      <c r="Z218" s="11">
        <f>VLOOKUP(B218,calculo!$C$5:$E$29,3,FALSE)</f>
        <v>0.21133989853836255</v>
      </c>
      <c r="AA218" s="12">
        <f t="shared" si="11"/>
        <v>1367.396593673966</v>
      </c>
    </row>
    <row r="219" spans="1:27">
      <c r="A219">
        <v>2019</v>
      </c>
      <c r="B219" s="13" t="s">
        <v>53</v>
      </c>
      <c r="C219" s="13" t="s">
        <v>42</v>
      </c>
      <c r="D219" s="12">
        <v>67.8</v>
      </c>
      <c r="E219" s="17">
        <f t="shared" si="9"/>
        <v>67800</v>
      </c>
      <c r="F219" s="12">
        <v>5150</v>
      </c>
      <c r="G219" s="7">
        <v>27.3</v>
      </c>
      <c r="H219" s="7">
        <v>73.5</v>
      </c>
      <c r="I219" s="12">
        <v>38.799999999999997</v>
      </c>
      <c r="J219" s="13" t="s">
        <v>31</v>
      </c>
      <c r="K219" s="13" t="s">
        <v>32</v>
      </c>
      <c r="L219">
        <v>86</v>
      </c>
      <c r="M219">
        <v>17458</v>
      </c>
      <c r="N219" s="15">
        <f>O219/100</f>
        <v>0.82900000000000007</v>
      </c>
      <c r="O219" s="14">
        <v>82.9</v>
      </c>
      <c r="P219">
        <v>51.6</v>
      </c>
      <c r="Q219">
        <v>0.42</v>
      </c>
      <c r="R219">
        <v>0.64</v>
      </c>
      <c r="S219">
        <v>0</v>
      </c>
      <c r="T219" s="15">
        <f t="shared" si="10"/>
        <v>0.25700000000000001</v>
      </c>
      <c r="U219">
        <v>25.7</v>
      </c>
      <c r="V219">
        <v>47</v>
      </c>
      <c r="W219" s="12">
        <v>13.2</v>
      </c>
      <c r="X219" s="6">
        <v>282</v>
      </c>
      <c r="Y219" s="11">
        <f>VLOOKUP(B219,calculo!$C$5:$D$29,2,FALSE)</f>
        <v>0.2063791889231521</v>
      </c>
      <c r="Z219" s="11">
        <f>VLOOKUP(B219,calculo!$C$5:$E$29,3,FALSE)</f>
        <v>0.21133989853836255</v>
      </c>
      <c r="AA219" s="12">
        <f t="shared" si="11"/>
        <v>2483.5164835164833</v>
      </c>
    </row>
    <row r="220" spans="1:27">
      <c r="A220">
        <v>2020</v>
      </c>
      <c r="B220" s="13" t="s">
        <v>53</v>
      </c>
      <c r="C220" s="13" t="s">
        <v>42</v>
      </c>
      <c r="D220" s="12">
        <v>81.8</v>
      </c>
      <c r="E220" s="17">
        <f t="shared" si="9"/>
        <v>81800</v>
      </c>
      <c r="F220" s="12">
        <v>10284.700000000001</v>
      </c>
      <c r="G220" s="7">
        <v>11.4</v>
      </c>
      <c r="H220" s="7">
        <v>27.9</v>
      </c>
      <c r="I220" s="12">
        <v>116.2</v>
      </c>
      <c r="J220" s="13" t="s">
        <v>35</v>
      </c>
      <c r="K220" s="13" t="s">
        <v>32</v>
      </c>
      <c r="L220">
        <v>115</v>
      </c>
      <c r="M220">
        <v>16445</v>
      </c>
      <c r="N220" s="15">
        <f>O220/100</f>
        <v>0.93200000000000005</v>
      </c>
      <c r="O220" s="14">
        <v>93.2</v>
      </c>
      <c r="P220">
        <v>82.3</v>
      </c>
      <c r="Q220">
        <v>0.52</v>
      </c>
      <c r="R220">
        <v>1.28</v>
      </c>
      <c r="S220">
        <v>0.57999999999999996</v>
      </c>
      <c r="T220" s="15">
        <f t="shared" si="10"/>
        <v>0.26700000000000002</v>
      </c>
      <c r="U220">
        <v>26.7</v>
      </c>
      <c r="V220">
        <v>50</v>
      </c>
      <c r="W220" s="12">
        <v>35.700000000000003</v>
      </c>
      <c r="X220" s="6">
        <v>102</v>
      </c>
      <c r="Y220" s="11">
        <f>VLOOKUP(B220,calculo!$C$5:$D$29,2,FALSE)</f>
        <v>0.2063791889231521</v>
      </c>
      <c r="Z220" s="11">
        <f>VLOOKUP(B220,calculo!$C$5:$E$29,3,FALSE)</f>
        <v>0.21133989853836255</v>
      </c>
      <c r="AA220" s="12">
        <f t="shared" si="11"/>
        <v>7175.4385964912281</v>
      </c>
    </row>
    <row r="221" spans="1:27">
      <c r="A221">
        <v>2021</v>
      </c>
      <c r="B221" s="13" t="s">
        <v>53</v>
      </c>
      <c r="C221" s="13" t="s">
        <v>42</v>
      </c>
      <c r="D221" s="12">
        <v>98.68</v>
      </c>
      <c r="E221" s="17">
        <f t="shared" si="9"/>
        <v>98680</v>
      </c>
      <c r="F221" s="12">
        <v>7190.8</v>
      </c>
      <c r="G221" s="7">
        <v>38.799999999999997</v>
      </c>
      <c r="H221" s="7">
        <v>75.400000000000006</v>
      </c>
      <c r="I221" s="12">
        <v>68.599999999999994</v>
      </c>
      <c r="J221" s="13" t="s">
        <v>34</v>
      </c>
      <c r="K221" s="13" t="s">
        <v>30</v>
      </c>
      <c r="L221">
        <v>70</v>
      </c>
      <c r="M221">
        <v>7280</v>
      </c>
      <c r="N221" s="15">
        <f>O221/100</f>
        <v>0.69299999999999995</v>
      </c>
      <c r="O221" s="14">
        <v>69.3</v>
      </c>
      <c r="P221">
        <v>27.2</v>
      </c>
      <c r="Q221">
        <v>0.61</v>
      </c>
      <c r="R221">
        <v>1.1599999999999999</v>
      </c>
      <c r="S221">
        <v>0.4</v>
      </c>
      <c r="T221" s="15">
        <f t="shared" si="10"/>
        <v>0.27899999999999997</v>
      </c>
      <c r="U221">
        <v>27.9</v>
      </c>
      <c r="V221">
        <v>53</v>
      </c>
      <c r="W221" s="12">
        <v>23.3</v>
      </c>
      <c r="X221" s="6">
        <v>460</v>
      </c>
      <c r="Y221" s="11">
        <f>VLOOKUP(B221,calculo!$C$5:$D$29,2,FALSE)</f>
        <v>0.2063791889231521</v>
      </c>
      <c r="Z221" s="11">
        <f>VLOOKUP(B221,calculo!$C$5:$E$29,3,FALSE)</f>
        <v>0.21133989853836255</v>
      </c>
      <c r="AA221" s="12">
        <f t="shared" si="11"/>
        <v>2543.2989690721652</v>
      </c>
    </row>
    <row r="222" spans="1:27">
      <c r="A222">
        <v>2022</v>
      </c>
      <c r="B222" s="13" t="s">
        <v>53</v>
      </c>
      <c r="C222" s="13" t="s">
        <v>42</v>
      </c>
      <c r="D222" s="12">
        <v>119.05</v>
      </c>
      <c r="E222" s="17">
        <f t="shared" si="9"/>
        <v>119050</v>
      </c>
      <c r="F222" s="12">
        <v>11685.4</v>
      </c>
      <c r="G222" s="7">
        <v>38.9</v>
      </c>
      <c r="H222" s="7">
        <v>65.3</v>
      </c>
      <c r="I222" s="12">
        <v>33.9</v>
      </c>
      <c r="J222" s="13" t="s">
        <v>33</v>
      </c>
      <c r="K222" s="13" t="s">
        <v>30</v>
      </c>
      <c r="L222">
        <v>103</v>
      </c>
      <c r="M222">
        <v>16686</v>
      </c>
      <c r="N222" s="15">
        <f>O222/100</f>
        <v>0.78</v>
      </c>
      <c r="O222" s="14">
        <v>78</v>
      </c>
      <c r="P222">
        <v>99.4</v>
      </c>
      <c r="Q222">
        <v>0.83</v>
      </c>
      <c r="R222">
        <v>0.82</v>
      </c>
      <c r="S222">
        <v>0</v>
      </c>
      <c r="T222" s="15">
        <f t="shared" si="10"/>
        <v>0.27100000000000002</v>
      </c>
      <c r="U222">
        <v>27.1</v>
      </c>
      <c r="V222">
        <v>56</v>
      </c>
      <c r="W222" s="12">
        <v>26.9</v>
      </c>
      <c r="X222" s="6">
        <v>358</v>
      </c>
      <c r="Y222" s="11">
        <f>VLOOKUP(B222,calculo!$C$5:$D$29,2,FALSE)</f>
        <v>0.2063791889231521</v>
      </c>
      <c r="Z222" s="11">
        <f>VLOOKUP(B222,calculo!$C$5:$E$29,3,FALSE)</f>
        <v>0.21133989853836255</v>
      </c>
      <c r="AA222" s="12">
        <f t="shared" si="11"/>
        <v>3060.4113110539847</v>
      </c>
    </row>
    <row r="223" spans="1:27">
      <c r="A223">
        <v>2023</v>
      </c>
      <c r="B223" s="13" t="s">
        <v>53</v>
      </c>
      <c r="C223" s="13" t="s">
        <v>42</v>
      </c>
      <c r="D223" s="12">
        <v>143.62</v>
      </c>
      <c r="E223" s="17">
        <f t="shared" si="9"/>
        <v>143620</v>
      </c>
      <c r="F223" s="12">
        <v>16611.900000000001</v>
      </c>
      <c r="G223" s="7">
        <v>15.9</v>
      </c>
      <c r="H223" s="7">
        <v>30</v>
      </c>
      <c r="I223" s="12">
        <v>140.19999999999999</v>
      </c>
      <c r="J223" s="13" t="s">
        <v>35</v>
      </c>
      <c r="K223" s="13" t="s">
        <v>36</v>
      </c>
      <c r="L223">
        <v>91</v>
      </c>
      <c r="M223">
        <v>5369</v>
      </c>
      <c r="N223" s="15">
        <f>O223/100</f>
        <v>0.60299999999999998</v>
      </c>
      <c r="O223" s="14">
        <v>60.3</v>
      </c>
      <c r="P223">
        <v>96.7</v>
      </c>
      <c r="Q223">
        <v>0.64</v>
      </c>
      <c r="R223">
        <v>0.88</v>
      </c>
      <c r="S223">
        <v>0</v>
      </c>
      <c r="T223" s="15">
        <f t="shared" si="10"/>
        <v>0.33500000000000002</v>
      </c>
      <c r="U223">
        <v>33.5</v>
      </c>
      <c r="V223">
        <v>59</v>
      </c>
      <c r="W223" s="12">
        <v>32.799999999999997</v>
      </c>
      <c r="X223" s="6">
        <v>287</v>
      </c>
      <c r="Y223" s="11">
        <f>VLOOKUP(B223,calculo!$C$5:$D$29,2,FALSE)</f>
        <v>0.2063791889231521</v>
      </c>
      <c r="Z223" s="11">
        <f>VLOOKUP(B223,calculo!$C$5:$E$29,3,FALSE)</f>
        <v>0.21133989853836255</v>
      </c>
      <c r="AA223" s="12">
        <f t="shared" si="11"/>
        <v>9032.7044025157229</v>
      </c>
    </row>
    <row r="224" spans="1:27">
      <c r="A224">
        <v>2024</v>
      </c>
      <c r="B224" s="13" t="s">
        <v>53</v>
      </c>
      <c r="C224" s="13" t="s">
        <v>42</v>
      </c>
      <c r="D224" s="12">
        <v>173.27</v>
      </c>
      <c r="E224" s="17">
        <f t="shared" si="9"/>
        <v>173270</v>
      </c>
      <c r="F224" s="12">
        <v>25131.8</v>
      </c>
      <c r="G224" s="7">
        <v>35.700000000000003</v>
      </c>
      <c r="H224" s="7">
        <v>84.8</v>
      </c>
      <c r="I224" s="12">
        <v>99.6</v>
      </c>
      <c r="J224" s="13" t="s">
        <v>34</v>
      </c>
      <c r="K224" s="13" t="s">
        <v>36</v>
      </c>
      <c r="L224">
        <v>103</v>
      </c>
      <c r="M224">
        <v>12875</v>
      </c>
      <c r="N224" s="15">
        <f>O224/100</f>
        <v>0.65900000000000003</v>
      </c>
      <c r="O224" s="14">
        <v>65.900000000000006</v>
      </c>
      <c r="P224">
        <v>92.1</v>
      </c>
      <c r="Q224">
        <v>0.8</v>
      </c>
      <c r="R224">
        <v>0.94</v>
      </c>
      <c r="S224">
        <v>0</v>
      </c>
      <c r="T224" s="15">
        <f t="shared" si="10"/>
        <v>0.34700000000000003</v>
      </c>
      <c r="U224">
        <v>34.700000000000003</v>
      </c>
      <c r="V224">
        <v>62</v>
      </c>
      <c r="W224" s="12">
        <v>35</v>
      </c>
      <c r="X224" s="6">
        <v>336</v>
      </c>
      <c r="Y224" s="11">
        <f>VLOOKUP(B224,calculo!$C$5:$D$29,2,FALSE)</f>
        <v>0.2063791889231521</v>
      </c>
      <c r="Z224" s="11">
        <f>VLOOKUP(B224,calculo!$C$5:$E$29,3,FALSE)</f>
        <v>0.21133989853836255</v>
      </c>
      <c r="AA224" s="12">
        <f t="shared" si="11"/>
        <v>4853.5014005602234</v>
      </c>
    </row>
    <row r="225" spans="1:27">
      <c r="A225">
        <v>2025</v>
      </c>
      <c r="B225" s="13" t="s">
        <v>53</v>
      </c>
      <c r="C225" s="13" t="s">
        <v>42</v>
      </c>
      <c r="D225" s="12">
        <v>209.03</v>
      </c>
      <c r="E225" s="17">
        <f t="shared" si="9"/>
        <v>209030</v>
      </c>
      <c r="F225" s="12">
        <v>26402.9</v>
      </c>
      <c r="G225" s="7">
        <v>49.7</v>
      </c>
      <c r="H225" s="7">
        <v>163</v>
      </c>
      <c r="I225" s="12">
        <v>95.3</v>
      </c>
      <c r="J225" s="13" t="s">
        <v>34</v>
      </c>
      <c r="K225" s="13" t="s">
        <v>32</v>
      </c>
      <c r="L225">
        <v>113</v>
      </c>
      <c r="M225">
        <v>30510</v>
      </c>
      <c r="N225" s="15">
        <f>O225/100</f>
        <v>0.51500000000000001</v>
      </c>
      <c r="O225" s="14">
        <v>51.5</v>
      </c>
      <c r="P225">
        <v>72.7</v>
      </c>
      <c r="Q225">
        <v>0.88</v>
      </c>
      <c r="R225">
        <v>1</v>
      </c>
      <c r="S225">
        <v>0</v>
      </c>
      <c r="T225" s="15">
        <f t="shared" si="10"/>
        <v>0.37200000000000005</v>
      </c>
      <c r="U225">
        <v>37.200000000000003</v>
      </c>
      <c r="V225">
        <v>65</v>
      </c>
      <c r="W225" s="12">
        <v>24.2</v>
      </c>
      <c r="X225" s="6">
        <v>484</v>
      </c>
      <c r="Y225" s="11">
        <f>VLOOKUP(B225,calculo!$C$5:$D$29,2,FALSE)</f>
        <v>0.2063791889231521</v>
      </c>
      <c r="Z225" s="11">
        <f>VLOOKUP(B225,calculo!$C$5:$E$29,3,FALSE)</f>
        <v>0.21133989853836255</v>
      </c>
      <c r="AA225" s="12">
        <f t="shared" si="11"/>
        <v>4205.835010060362</v>
      </c>
    </row>
    <row r="226" spans="1:27">
      <c r="A226">
        <v>2010</v>
      </c>
      <c r="B226" s="13" t="s">
        <v>54</v>
      </c>
      <c r="C226" s="13" t="s">
        <v>42</v>
      </c>
      <c r="D226" s="12">
        <v>1.97</v>
      </c>
      <c r="E226" s="17">
        <f t="shared" si="9"/>
        <v>1970</v>
      </c>
      <c r="F226" s="12">
        <v>257.7</v>
      </c>
      <c r="G226" s="7">
        <v>50.5</v>
      </c>
      <c r="H226" s="7">
        <v>109.3</v>
      </c>
      <c r="I226" s="12">
        <v>113.2</v>
      </c>
      <c r="J226" s="13" t="s">
        <v>34</v>
      </c>
      <c r="K226" s="13" t="s">
        <v>30</v>
      </c>
      <c r="L226">
        <v>28</v>
      </c>
      <c r="M226">
        <v>2044</v>
      </c>
      <c r="N226" s="15">
        <f>O226/100</f>
        <v>0.89400000000000002</v>
      </c>
      <c r="O226" s="14">
        <v>89.4</v>
      </c>
      <c r="P226">
        <v>65.400000000000006</v>
      </c>
      <c r="Q226">
        <v>-0.03</v>
      </c>
      <c r="R226">
        <v>0.1</v>
      </c>
      <c r="S226">
        <v>0</v>
      </c>
      <c r="T226" s="15">
        <f t="shared" si="10"/>
        <v>0.10400000000000001</v>
      </c>
      <c r="U226">
        <v>10.4</v>
      </c>
      <c r="V226">
        <v>20</v>
      </c>
      <c r="W226" s="12">
        <v>8.8000000000000007</v>
      </c>
      <c r="X226" s="6">
        <v>257</v>
      </c>
      <c r="Y226" s="11">
        <f>VLOOKUP(B226,calculo!$C$5:$D$29,2,FALSE)</f>
        <v>0.23798636243209326</v>
      </c>
      <c r="Z226" s="11">
        <f>VLOOKUP(B226,calculo!$C$5:$E$29,3,FALSE)</f>
        <v>0.22360173226397251</v>
      </c>
      <c r="AA226" s="12">
        <f t="shared" si="11"/>
        <v>39.009900990099013</v>
      </c>
    </row>
    <row r="227" spans="1:27">
      <c r="A227">
        <v>2011</v>
      </c>
      <c r="B227" s="13" t="s">
        <v>54</v>
      </c>
      <c r="C227" s="13" t="s">
        <v>42</v>
      </c>
      <c r="D227" s="12">
        <v>2.4300000000000002</v>
      </c>
      <c r="E227" s="17">
        <f t="shared" si="9"/>
        <v>2430</v>
      </c>
      <c r="F227" s="12">
        <v>217.1</v>
      </c>
      <c r="G227" s="7">
        <v>33.700000000000003</v>
      </c>
      <c r="H227" s="7">
        <v>86.4</v>
      </c>
      <c r="I227" s="12">
        <v>100.9</v>
      </c>
      <c r="J227" s="13" t="s">
        <v>35</v>
      </c>
      <c r="K227" s="13" t="s">
        <v>30</v>
      </c>
      <c r="L227">
        <v>64</v>
      </c>
      <c r="M227">
        <v>6592</v>
      </c>
      <c r="N227" s="15">
        <f>O227/100</f>
        <v>0.59</v>
      </c>
      <c r="O227" s="14">
        <v>59</v>
      </c>
      <c r="P227">
        <v>40.299999999999997</v>
      </c>
      <c r="Q227">
        <v>0.12</v>
      </c>
      <c r="R227">
        <v>0.16</v>
      </c>
      <c r="S227">
        <v>0</v>
      </c>
      <c r="T227" s="15">
        <f t="shared" si="10"/>
        <v>0.113</v>
      </c>
      <c r="U227">
        <v>11.3</v>
      </c>
      <c r="V227">
        <v>23</v>
      </c>
      <c r="W227" s="12">
        <v>15.4</v>
      </c>
      <c r="X227" s="6">
        <v>94</v>
      </c>
      <c r="Y227" s="11">
        <f>VLOOKUP(B227,calculo!$C$5:$D$29,2,FALSE)</f>
        <v>0.23798636243209326</v>
      </c>
      <c r="Z227" s="11">
        <f>VLOOKUP(B227,calculo!$C$5:$E$29,3,FALSE)</f>
        <v>0.22360173226397251</v>
      </c>
      <c r="AA227" s="12">
        <f t="shared" si="11"/>
        <v>72.106824925816014</v>
      </c>
    </row>
    <row r="228" spans="1:27">
      <c r="A228">
        <v>2012</v>
      </c>
      <c r="B228" s="13" t="s">
        <v>54</v>
      </c>
      <c r="C228" s="13" t="s">
        <v>42</v>
      </c>
      <c r="D228" s="12">
        <v>3.01</v>
      </c>
      <c r="E228" s="17">
        <f t="shared" si="9"/>
        <v>3010</v>
      </c>
      <c r="F228" s="12">
        <v>151.1</v>
      </c>
      <c r="G228" s="7">
        <v>44.3</v>
      </c>
      <c r="H228" s="7">
        <v>152.1</v>
      </c>
      <c r="I228" s="12">
        <v>56.9</v>
      </c>
      <c r="J228" s="13" t="s">
        <v>29</v>
      </c>
      <c r="K228" s="13" t="s">
        <v>32</v>
      </c>
      <c r="L228">
        <v>40</v>
      </c>
      <c r="M228">
        <v>11520</v>
      </c>
      <c r="N228" s="15">
        <f>O228/100</f>
        <v>0.77400000000000002</v>
      </c>
      <c r="O228" s="14">
        <v>77.400000000000006</v>
      </c>
      <c r="P228">
        <v>92.2</v>
      </c>
      <c r="Q228">
        <v>0.05</v>
      </c>
      <c r="R228">
        <v>0.22</v>
      </c>
      <c r="S228">
        <v>0</v>
      </c>
      <c r="T228" s="15">
        <f t="shared" si="10"/>
        <v>0.11800000000000001</v>
      </c>
      <c r="U228">
        <v>11.8</v>
      </c>
      <c r="V228">
        <v>26</v>
      </c>
      <c r="W228" s="12">
        <v>10.199999999999999</v>
      </c>
      <c r="X228" s="6">
        <v>366</v>
      </c>
      <c r="Y228" s="11">
        <f>VLOOKUP(B228,calculo!$C$5:$D$29,2,FALSE)</f>
        <v>0.23798636243209326</v>
      </c>
      <c r="Z228" s="11">
        <f>VLOOKUP(B228,calculo!$C$5:$E$29,3,FALSE)</f>
        <v>0.22360173226397251</v>
      </c>
      <c r="AA228" s="12">
        <f t="shared" si="11"/>
        <v>67.945823927765247</v>
      </c>
    </row>
    <row r="229" spans="1:27">
      <c r="A229">
        <v>2013</v>
      </c>
      <c r="B229" s="13" t="s">
        <v>54</v>
      </c>
      <c r="C229" s="13" t="s">
        <v>42</v>
      </c>
      <c r="D229" s="12">
        <v>3.73</v>
      </c>
      <c r="E229" s="17">
        <f t="shared" si="9"/>
        <v>3730</v>
      </c>
      <c r="F229" s="12">
        <v>254.4</v>
      </c>
      <c r="G229" s="7">
        <v>23.5</v>
      </c>
      <c r="H229" s="7">
        <v>77.7</v>
      </c>
      <c r="I229" s="12">
        <v>126.8</v>
      </c>
      <c r="J229" s="13" t="s">
        <v>29</v>
      </c>
      <c r="K229" s="13" t="s">
        <v>30</v>
      </c>
      <c r="L229">
        <v>43</v>
      </c>
      <c r="M229">
        <v>2795</v>
      </c>
      <c r="N229" s="15">
        <f>O229/100</f>
        <v>0.7659999999999999</v>
      </c>
      <c r="O229" s="14">
        <v>76.599999999999994</v>
      </c>
      <c r="P229">
        <v>74.599999999999994</v>
      </c>
      <c r="Q229">
        <v>0.14000000000000001</v>
      </c>
      <c r="R229">
        <v>0.28000000000000003</v>
      </c>
      <c r="S229">
        <v>0</v>
      </c>
      <c r="T229" s="15">
        <f t="shared" si="10"/>
        <v>0.16200000000000001</v>
      </c>
      <c r="U229">
        <v>16.2</v>
      </c>
      <c r="V229">
        <v>29</v>
      </c>
      <c r="W229" s="12">
        <v>14.6</v>
      </c>
      <c r="X229" s="6">
        <v>68</v>
      </c>
      <c r="Y229" s="11">
        <f>VLOOKUP(B229,calculo!$C$5:$D$29,2,FALSE)</f>
        <v>0.23798636243209326</v>
      </c>
      <c r="Z229" s="11">
        <f>VLOOKUP(B229,calculo!$C$5:$E$29,3,FALSE)</f>
        <v>0.22360173226397251</v>
      </c>
      <c r="AA229" s="12">
        <f t="shared" si="11"/>
        <v>158.72340425531914</v>
      </c>
    </row>
    <row r="230" spans="1:27">
      <c r="A230">
        <v>2014</v>
      </c>
      <c r="B230" s="13" t="s">
        <v>54</v>
      </c>
      <c r="C230" s="13" t="s">
        <v>42</v>
      </c>
      <c r="D230" s="12">
        <v>4.62</v>
      </c>
      <c r="E230" s="17">
        <f t="shared" si="9"/>
        <v>4620</v>
      </c>
      <c r="F230" s="12">
        <v>240.6</v>
      </c>
      <c r="G230" s="7">
        <v>17.600000000000001</v>
      </c>
      <c r="H230" s="7">
        <v>44.6</v>
      </c>
      <c r="I230" s="12">
        <v>62.3</v>
      </c>
      <c r="J230" s="13" t="s">
        <v>35</v>
      </c>
      <c r="K230" s="13" t="s">
        <v>32</v>
      </c>
      <c r="L230">
        <v>100</v>
      </c>
      <c r="M230">
        <v>5900</v>
      </c>
      <c r="N230" s="15">
        <f>O230/100</f>
        <v>0.82099999999999995</v>
      </c>
      <c r="O230" s="14">
        <v>82.1</v>
      </c>
      <c r="P230">
        <v>81.900000000000006</v>
      </c>
      <c r="Q230">
        <v>0.17</v>
      </c>
      <c r="R230">
        <v>0.34</v>
      </c>
      <c r="S230">
        <v>0</v>
      </c>
      <c r="T230" s="15">
        <f t="shared" si="10"/>
        <v>0.157</v>
      </c>
      <c r="U230">
        <v>15.7</v>
      </c>
      <c r="V230">
        <v>32</v>
      </c>
      <c r="W230" s="12">
        <v>27</v>
      </c>
      <c r="X230" s="6">
        <v>111</v>
      </c>
      <c r="Y230" s="11">
        <f>VLOOKUP(B230,calculo!$C$5:$D$29,2,FALSE)</f>
        <v>0.23798636243209326</v>
      </c>
      <c r="Z230" s="11">
        <f>VLOOKUP(B230,calculo!$C$5:$E$29,3,FALSE)</f>
        <v>0.22360173226397251</v>
      </c>
      <c r="AA230" s="12">
        <f t="shared" si="11"/>
        <v>262.5</v>
      </c>
    </row>
    <row r="231" spans="1:27">
      <c r="A231">
        <v>2015</v>
      </c>
      <c r="B231" s="13" t="s">
        <v>54</v>
      </c>
      <c r="C231" s="13" t="s">
        <v>42</v>
      </c>
      <c r="D231" s="12">
        <v>5.72</v>
      </c>
      <c r="E231" s="17">
        <f t="shared" si="9"/>
        <v>5720</v>
      </c>
      <c r="F231" s="12">
        <v>384.5</v>
      </c>
      <c r="G231" s="7">
        <v>58.4</v>
      </c>
      <c r="H231" s="7">
        <v>140</v>
      </c>
      <c r="I231" s="12">
        <v>49.1</v>
      </c>
      <c r="J231" s="13" t="s">
        <v>35</v>
      </c>
      <c r="K231" s="13" t="s">
        <v>32</v>
      </c>
      <c r="L231">
        <v>19</v>
      </c>
      <c r="M231">
        <v>2755</v>
      </c>
      <c r="N231" s="15">
        <f>O231/100</f>
        <v>0.81299999999999994</v>
      </c>
      <c r="O231" s="14">
        <v>81.3</v>
      </c>
      <c r="P231">
        <v>79.7</v>
      </c>
      <c r="Q231">
        <v>0.14000000000000001</v>
      </c>
      <c r="R231">
        <v>0.4</v>
      </c>
      <c r="S231">
        <v>0</v>
      </c>
      <c r="T231" s="15">
        <f t="shared" si="10"/>
        <v>0.20300000000000001</v>
      </c>
      <c r="U231">
        <v>20.3</v>
      </c>
      <c r="V231">
        <v>35</v>
      </c>
      <c r="W231" s="12">
        <v>3.3</v>
      </c>
      <c r="X231" s="6">
        <v>135</v>
      </c>
      <c r="Y231" s="11">
        <f>VLOOKUP(B231,calculo!$C$5:$D$29,2,FALSE)</f>
        <v>0.23798636243209326</v>
      </c>
      <c r="Z231" s="11">
        <f>VLOOKUP(B231,calculo!$C$5:$E$29,3,FALSE)</f>
        <v>0.22360173226397251</v>
      </c>
      <c r="AA231" s="12">
        <f t="shared" si="11"/>
        <v>97.945205479452056</v>
      </c>
    </row>
    <row r="232" spans="1:27">
      <c r="A232">
        <v>2016</v>
      </c>
      <c r="B232" s="13" t="s">
        <v>54</v>
      </c>
      <c r="C232" s="13" t="s">
        <v>42</v>
      </c>
      <c r="D232" s="12">
        <v>7.08</v>
      </c>
      <c r="E232" s="17">
        <f t="shared" si="9"/>
        <v>7080</v>
      </c>
      <c r="F232" s="12">
        <v>390.9</v>
      </c>
      <c r="G232" s="7">
        <v>10.199999999999999</v>
      </c>
      <c r="H232" s="7">
        <v>19.7</v>
      </c>
      <c r="I232" s="12">
        <v>109.8</v>
      </c>
      <c r="J232" s="13" t="s">
        <v>31</v>
      </c>
      <c r="K232" s="13" t="s">
        <v>32</v>
      </c>
      <c r="L232">
        <v>7</v>
      </c>
      <c r="M232">
        <v>910</v>
      </c>
      <c r="N232" s="15">
        <f>O232/100</f>
        <v>0.69599999999999995</v>
      </c>
      <c r="O232" s="14">
        <v>69.599999999999994</v>
      </c>
      <c r="P232">
        <v>66.2</v>
      </c>
      <c r="Q232">
        <v>0.17</v>
      </c>
      <c r="R232">
        <v>0.46</v>
      </c>
      <c r="S232">
        <v>0</v>
      </c>
      <c r="T232" s="15">
        <f t="shared" si="10"/>
        <v>0.19899999999999998</v>
      </c>
      <c r="U232">
        <v>19.899999999999999</v>
      </c>
      <c r="V232">
        <v>38</v>
      </c>
      <c r="W232" s="12">
        <v>2.2999999999999998</v>
      </c>
      <c r="X232" s="6">
        <v>346</v>
      </c>
      <c r="Y232" s="11">
        <f>VLOOKUP(B232,calculo!$C$5:$D$29,2,FALSE)</f>
        <v>0.23798636243209326</v>
      </c>
      <c r="Z232" s="11">
        <f>VLOOKUP(B232,calculo!$C$5:$E$29,3,FALSE)</f>
        <v>0.22360173226397251</v>
      </c>
      <c r="AA232" s="12">
        <f t="shared" si="11"/>
        <v>694.11764705882354</v>
      </c>
    </row>
    <row r="233" spans="1:27">
      <c r="A233">
        <v>2017</v>
      </c>
      <c r="B233" s="13" t="s">
        <v>54</v>
      </c>
      <c r="C233" s="13" t="s">
        <v>42</v>
      </c>
      <c r="D233" s="12">
        <v>8.77</v>
      </c>
      <c r="E233" s="17">
        <f t="shared" si="9"/>
        <v>8770</v>
      </c>
      <c r="F233" s="12">
        <v>1128.0999999999999</v>
      </c>
      <c r="G233" s="7">
        <v>44.6</v>
      </c>
      <c r="H233" s="7">
        <v>101.2</v>
      </c>
      <c r="I233" s="12">
        <v>33</v>
      </c>
      <c r="J233" s="13" t="s">
        <v>35</v>
      </c>
      <c r="K233" s="13" t="s">
        <v>30</v>
      </c>
      <c r="L233">
        <v>39</v>
      </c>
      <c r="M233">
        <v>10959</v>
      </c>
      <c r="N233" s="15">
        <f>O233/100</f>
        <v>0.879</v>
      </c>
      <c r="O233" s="14">
        <v>87.9</v>
      </c>
      <c r="P233">
        <v>32.299999999999997</v>
      </c>
      <c r="Q233">
        <v>0.21</v>
      </c>
      <c r="R233">
        <v>0.52</v>
      </c>
      <c r="S233">
        <v>0</v>
      </c>
      <c r="T233" s="15">
        <f t="shared" si="10"/>
        <v>0.20899999999999999</v>
      </c>
      <c r="U233">
        <v>20.9</v>
      </c>
      <c r="V233">
        <v>41</v>
      </c>
      <c r="W233" s="12">
        <v>13.6</v>
      </c>
      <c r="X233" s="6">
        <v>225</v>
      </c>
      <c r="Y233" s="11">
        <f>VLOOKUP(B233,calculo!$C$5:$D$29,2,FALSE)</f>
        <v>0.23798636243209326</v>
      </c>
      <c r="Z233" s="11">
        <f>VLOOKUP(B233,calculo!$C$5:$E$29,3,FALSE)</f>
        <v>0.22360173226397251</v>
      </c>
      <c r="AA233" s="12">
        <f t="shared" si="11"/>
        <v>196.63677130044843</v>
      </c>
    </row>
    <row r="234" spans="1:27">
      <c r="A234">
        <v>2018</v>
      </c>
      <c r="B234" s="13" t="s">
        <v>54</v>
      </c>
      <c r="C234" s="13" t="s">
        <v>42</v>
      </c>
      <c r="D234" s="12">
        <v>10.86</v>
      </c>
      <c r="E234" s="17">
        <f t="shared" si="9"/>
        <v>10860</v>
      </c>
      <c r="F234" s="12">
        <v>1136.4000000000001</v>
      </c>
      <c r="G234" s="7">
        <v>58.1</v>
      </c>
      <c r="H234" s="7">
        <v>93.1</v>
      </c>
      <c r="I234" s="12">
        <v>90.6</v>
      </c>
      <c r="J234" s="13" t="s">
        <v>29</v>
      </c>
      <c r="K234" s="13" t="s">
        <v>30</v>
      </c>
      <c r="L234">
        <v>31</v>
      </c>
      <c r="M234">
        <v>3999</v>
      </c>
      <c r="N234" s="15">
        <f>O234/100</f>
        <v>0.74900000000000011</v>
      </c>
      <c r="O234" s="14">
        <v>74.900000000000006</v>
      </c>
      <c r="P234">
        <v>54.7</v>
      </c>
      <c r="Q234">
        <v>0.38</v>
      </c>
      <c r="R234">
        <v>0.57999999999999996</v>
      </c>
      <c r="S234">
        <v>0</v>
      </c>
      <c r="T234" s="15">
        <f t="shared" si="10"/>
        <v>0.245</v>
      </c>
      <c r="U234">
        <v>24.5</v>
      </c>
      <c r="V234">
        <v>44</v>
      </c>
      <c r="W234" s="12">
        <v>11.3</v>
      </c>
      <c r="X234" s="6">
        <v>388</v>
      </c>
      <c r="Y234" s="11">
        <f>VLOOKUP(B234,calculo!$C$5:$D$29,2,FALSE)</f>
        <v>0.23798636243209326</v>
      </c>
      <c r="Z234" s="11">
        <f>VLOOKUP(B234,calculo!$C$5:$E$29,3,FALSE)</f>
        <v>0.22360173226397251</v>
      </c>
      <c r="AA234" s="12">
        <f t="shared" si="11"/>
        <v>186.91910499139414</v>
      </c>
    </row>
    <row r="235" spans="1:27">
      <c r="A235">
        <v>2019</v>
      </c>
      <c r="B235" s="13" t="s">
        <v>54</v>
      </c>
      <c r="C235" s="13" t="s">
        <v>42</v>
      </c>
      <c r="D235" s="12">
        <v>13.45</v>
      </c>
      <c r="E235" s="17">
        <f t="shared" si="9"/>
        <v>13450</v>
      </c>
      <c r="F235" s="12">
        <v>1582.8</v>
      </c>
      <c r="G235" s="7">
        <v>38.299999999999997</v>
      </c>
      <c r="H235" s="7">
        <v>81.599999999999994</v>
      </c>
      <c r="I235" s="12">
        <v>128</v>
      </c>
      <c r="J235" s="13" t="s">
        <v>34</v>
      </c>
      <c r="K235" s="13" t="s">
        <v>30</v>
      </c>
      <c r="L235">
        <v>61</v>
      </c>
      <c r="M235">
        <v>16958</v>
      </c>
      <c r="N235" s="15">
        <f>O235/100</f>
        <v>0.875</v>
      </c>
      <c r="O235" s="14">
        <v>87.5</v>
      </c>
      <c r="P235">
        <v>93</v>
      </c>
      <c r="Q235">
        <v>0.43</v>
      </c>
      <c r="R235">
        <v>0.64</v>
      </c>
      <c r="S235">
        <v>0</v>
      </c>
      <c r="T235" s="15">
        <f t="shared" si="10"/>
        <v>0.255</v>
      </c>
      <c r="U235">
        <v>25.5</v>
      </c>
      <c r="V235">
        <v>47</v>
      </c>
      <c r="W235" s="12">
        <v>10.199999999999999</v>
      </c>
      <c r="X235" s="6">
        <v>219</v>
      </c>
      <c r="Y235" s="11">
        <f>VLOOKUP(B235,calculo!$C$5:$D$29,2,FALSE)</f>
        <v>0.23798636243209326</v>
      </c>
      <c r="Z235" s="11">
        <f>VLOOKUP(B235,calculo!$C$5:$E$29,3,FALSE)</f>
        <v>0.22360173226397251</v>
      </c>
      <c r="AA235" s="12">
        <f t="shared" si="11"/>
        <v>351.17493472584857</v>
      </c>
    </row>
    <row r="236" spans="1:27">
      <c r="A236">
        <v>2020</v>
      </c>
      <c r="B236" s="13" t="s">
        <v>54</v>
      </c>
      <c r="C236" s="13" t="s">
        <v>42</v>
      </c>
      <c r="D236" s="12">
        <v>16.649999999999999</v>
      </c>
      <c r="E236" s="17">
        <f t="shared" si="9"/>
        <v>16650</v>
      </c>
      <c r="F236" s="12">
        <v>865.4</v>
      </c>
      <c r="G236" s="7">
        <v>24.7</v>
      </c>
      <c r="H236" s="7">
        <v>46.4</v>
      </c>
      <c r="I236" s="12">
        <v>79.400000000000006</v>
      </c>
      <c r="J236" s="13" t="s">
        <v>31</v>
      </c>
      <c r="K236" s="13" t="s">
        <v>30</v>
      </c>
      <c r="L236">
        <v>10</v>
      </c>
      <c r="M236">
        <v>1460</v>
      </c>
      <c r="N236" s="15">
        <f>O236/100</f>
        <v>0.77200000000000002</v>
      </c>
      <c r="O236" s="14">
        <v>77.2</v>
      </c>
      <c r="P236">
        <v>43.5</v>
      </c>
      <c r="Q236">
        <v>0.48</v>
      </c>
      <c r="R236">
        <v>1</v>
      </c>
      <c r="S236">
        <v>0.3</v>
      </c>
      <c r="T236" s="15">
        <f t="shared" si="10"/>
        <v>0.25800000000000001</v>
      </c>
      <c r="U236">
        <v>25.8</v>
      </c>
      <c r="V236">
        <v>50</v>
      </c>
      <c r="W236" s="12">
        <v>2.6</v>
      </c>
      <c r="X236" s="6">
        <v>42</v>
      </c>
      <c r="Y236" s="11">
        <f>VLOOKUP(B236,calculo!$C$5:$D$29,2,FALSE)</f>
        <v>0.23798636243209326</v>
      </c>
      <c r="Z236" s="11">
        <f>VLOOKUP(B236,calculo!$C$5:$E$29,3,FALSE)</f>
        <v>0.22360173226397251</v>
      </c>
      <c r="AA236" s="12">
        <f t="shared" si="11"/>
        <v>674.089068825911</v>
      </c>
    </row>
    <row r="237" spans="1:27">
      <c r="A237">
        <v>2021</v>
      </c>
      <c r="B237" s="13" t="s">
        <v>54</v>
      </c>
      <c r="C237" s="13" t="s">
        <v>42</v>
      </c>
      <c r="D237" s="12">
        <v>20.61</v>
      </c>
      <c r="E237" s="17">
        <f t="shared" si="9"/>
        <v>20610</v>
      </c>
      <c r="F237" s="12">
        <v>1715.9</v>
      </c>
      <c r="G237" s="7">
        <v>5.3</v>
      </c>
      <c r="H237" s="7">
        <v>11.9</v>
      </c>
      <c r="I237" s="12">
        <v>143.30000000000001</v>
      </c>
      <c r="J237" s="13" t="s">
        <v>34</v>
      </c>
      <c r="K237" s="13" t="s">
        <v>30</v>
      </c>
      <c r="L237">
        <v>17</v>
      </c>
      <c r="M237">
        <v>2261</v>
      </c>
      <c r="N237" s="15">
        <f>O237/100</f>
        <v>0.77</v>
      </c>
      <c r="O237" s="14">
        <v>77</v>
      </c>
      <c r="P237">
        <v>99.3</v>
      </c>
      <c r="Q237">
        <v>0.67</v>
      </c>
      <c r="R237">
        <v>1.07</v>
      </c>
      <c r="S237">
        <v>0.31</v>
      </c>
      <c r="T237" s="15">
        <f t="shared" si="10"/>
        <v>0.27</v>
      </c>
      <c r="U237">
        <v>27</v>
      </c>
      <c r="V237">
        <v>53</v>
      </c>
      <c r="W237" s="12">
        <v>5.4</v>
      </c>
      <c r="X237" s="6">
        <v>289</v>
      </c>
      <c r="Y237" s="11">
        <f>VLOOKUP(B237,calculo!$C$5:$D$29,2,FALSE)</f>
        <v>0.23798636243209326</v>
      </c>
      <c r="Z237" s="11">
        <f>VLOOKUP(B237,calculo!$C$5:$E$29,3,FALSE)</f>
        <v>0.22360173226397251</v>
      </c>
      <c r="AA237" s="12">
        <f t="shared" si="11"/>
        <v>3888.6792452830191</v>
      </c>
    </row>
    <row r="238" spans="1:27">
      <c r="A238">
        <v>2022</v>
      </c>
      <c r="B238" s="13" t="s">
        <v>54</v>
      </c>
      <c r="C238" s="13" t="s">
        <v>42</v>
      </c>
      <c r="D238" s="12">
        <v>25.52</v>
      </c>
      <c r="E238" s="17">
        <f t="shared" si="9"/>
        <v>25520</v>
      </c>
      <c r="F238" s="12">
        <v>3778.2</v>
      </c>
      <c r="G238" s="7">
        <v>5.9</v>
      </c>
      <c r="H238" s="7">
        <v>15</v>
      </c>
      <c r="I238" s="12">
        <v>51.5</v>
      </c>
      <c r="J238" s="13" t="s">
        <v>35</v>
      </c>
      <c r="K238" s="13" t="s">
        <v>36</v>
      </c>
      <c r="L238">
        <v>10</v>
      </c>
      <c r="M238">
        <v>1070</v>
      </c>
      <c r="N238" s="15">
        <f>O238/100</f>
        <v>0.58499999999999996</v>
      </c>
      <c r="O238" s="14">
        <v>58.5</v>
      </c>
      <c r="P238">
        <v>68.7</v>
      </c>
      <c r="Q238">
        <v>0.63</v>
      </c>
      <c r="R238">
        <v>0.82</v>
      </c>
      <c r="S238">
        <v>0</v>
      </c>
      <c r="T238" s="15">
        <f t="shared" si="10"/>
        <v>0.26700000000000002</v>
      </c>
      <c r="U238">
        <v>26.7</v>
      </c>
      <c r="V238">
        <v>56</v>
      </c>
      <c r="W238" s="12">
        <v>1.8</v>
      </c>
      <c r="X238" s="6">
        <v>442</v>
      </c>
      <c r="Y238" s="11">
        <f>VLOOKUP(B238,calculo!$C$5:$D$29,2,FALSE)</f>
        <v>0.23798636243209326</v>
      </c>
      <c r="Z238" s="11">
        <f>VLOOKUP(B238,calculo!$C$5:$E$29,3,FALSE)</f>
        <v>0.22360173226397251</v>
      </c>
      <c r="AA238" s="12">
        <f t="shared" si="11"/>
        <v>4325.4237288135591</v>
      </c>
    </row>
    <row r="239" spans="1:27">
      <c r="A239">
        <v>2023</v>
      </c>
      <c r="B239" s="13" t="s">
        <v>54</v>
      </c>
      <c r="C239" s="13" t="s">
        <v>42</v>
      </c>
      <c r="D239" s="12">
        <v>31.6</v>
      </c>
      <c r="E239" s="17">
        <f t="shared" si="9"/>
        <v>31600</v>
      </c>
      <c r="F239" s="12">
        <v>2415.1</v>
      </c>
      <c r="G239" s="7">
        <v>13.9</v>
      </c>
      <c r="H239" s="7">
        <v>34.299999999999997</v>
      </c>
      <c r="I239" s="12">
        <v>62.2</v>
      </c>
      <c r="J239" s="13" t="s">
        <v>33</v>
      </c>
      <c r="K239" s="13" t="s">
        <v>32</v>
      </c>
      <c r="L239">
        <v>28</v>
      </c>
      <c r="M239">
        <v>3444</v>
      </c>
      <c r="N239" s="15">
        <f>O239/100</f>
        <v>0.76800000000000002</v>
      </c>
      <c r="O239" s="14">
        <v>76.8</v>
      </c>
      <c r="P239">
        <v>37.9</v>
      </c>
      <c r="Q239">
        <v>0.68</v>
      </c>
      <c r="R239">
        <v>0.88</v>
      </c>
      <c r="S239">
        <v>0</v>
      </c>
      <c r="T239" s="15">
        <f t="shared" si="10"/>
        <v>0.28300000000000003</v>
      </c>
      <c r="U239">
        <v>28.3</v>
      </c>
      <c r="V239">
        <v>59</v>
      </c>
      <c r="W239" s="12">
        <v>9</v>
      </c>
      <c r="X239" s="6">
        <v>239</v>
      </c>
      <c r="Y239" s="11">
        <f>VLOOKUP(B239,calculo!$C$5:$D$29,2,FALSE)</f>
        <v>0.23798636243209326</v>
      </c>
      <c r="Z239" s="11">
        <f>VLOOKUP(B239,calculo!$C$5:$E$29,3,FALSE)</f>
        <v>0.22360173226397251</v>
      </c>
      <c r="AA239" s="12">
        <f t="shared" si="11"/>
        <v>2273.3812949640287</v>
      </c>
    </row>
    <row r="240" spans="1:27">
      <c r="A240">
        <v>2024</v>
      </c>
      <c r="B240" s="13" t="s">
        <v>54</v>
      </c>
      <c r="C240" s="13" t="s">
        <v>42</v>
      </c>
      <c r="D240" s="12">
        <v>39.130000000000003</v>
      </c>
      <c r="E240" s="17">
        <f t="shared" si="9"/>
        <v>39130</v>
      </c>
      <c r="F240" s="12">
        <v>4678.7</v>
      </c>
      <c r="G240" s="7">
        <v>28.6</v>
      </c>
      <c r="H240" s="7">
        <v>48.1</v>
      </c>
      <c r="I240" s="12">
        <v>96.4</v>
      </c>
      <c r="J240" s="13" t="s">
        <v>34</v>
      </c>
      <c r="K240" s="13" t="s">
        <v>30</v>
      </c>
      <c r="L240">
        <v>57</v>
      </c>
      <c r="M240">
        <v>4731</v>
      </c>
      <c r="N240" s="15">
        <f>O240/100</f>
        <v>0.70299999999999996</v>
      </c>
      <c r="O240" s="14">
        <v>70.3</v>
      </c>
      <c r="P240">
        <v>75.400000000000006</v>
      </c>
      <c r="Q240">
        <v>0.81</v>
      </c>
      <c r="R240">
        <v>0.94</v>
      </c>
      <c r="S240">
        <v>0</v>
      </c>
      <c r="T240" s="15">
        <f t="shared" si="10"/>
        <v>0.31900000000000001</v>
      </c>
      <c r="U240">
        <v>31.9</v>
      </c>
      <c r="V240">
        <v>62</v>
      </c>
      <c r="W240" s="12">
        <v>18.600000000000001</v>
      </c>
      <c r="X240" s="6">
        <v>335</v>
      </c>
      <c r="Y240" s="11">
        <f>VLOOKUP(B240,calculo!$C$5:$D$29,2,FALSE)</f>
        <v>0.23798636243209326</v>
      </c>
      <c r="Z240" s="11">
        <f>VLOOKUP(B240,calculo!$C$5:$E$29,3,FALSE)</f>
        <v>0.22360173226397251</v>
      </c>
      <c r="AA240" s="12">
        <f t="shared" si="11"/>
        <v>1368.181818181818</v>
      </c>
    </row>
    <row r="241" spans="1:27">
      <c r="A241">
        <v>2025</v>
      </c>
      <c r="B241" s="13" t="s">
        <v>54</v>
      </c>
      <c r="C241" s="13" t="s">
        <v>42</v>
      </c>
      <c r="D241" s="12">
        <v>48.44</v>
      </c>
      <c r="E241" s="17">
        <f t="shared" si="9"/>
        <v>48440</v>
      </c>
      <c r="F241" s="12">
        <v>5317.6</v>
      </c>
      <c r="G241" s="7">
        <v>52.2</v>
      </c>
      <c r="H241" s="7">
        <v>177.3</v>
      </c>
      <c r="I241" s="12">
        <v>42.7</v>
      </c>
      <c r="J241" s="13" t="s">
        <v>34</v>
      </c>
      <c r="K241" s="13" t="s">
        <v>36</v>
      </c>
      <c r="L241">
        <v>14</v>
      </c>
      <c r="M241">
        <v>1428</v>
      </c>
      <c r="N241" s="15">
        <f>O241/100</f>
        <v>0.59099999999999997</v>
      </c>
      <c r="O241" s="14">
        <v>59.1</v>
      </c>
      <c r="P241">
        <v>69.099999999999994</v>
      </c>
      <c r="Q241">
        <v>0.84</v>
      </c>
      <c r="R241">
        <v>1</v>
      </c>
      <c r="S241">
        <v>0</v>
      </c>
      <c r="T241" s="15">
        <f t="shared" si="10"/>
        <v>0.33200000000000002</v>
      </c>
      <c r="U241">
        <v>33.200000000000003</v>
      </c>
      <c r="V241">
        <v>65</v>
      </c>
      <c r="W241" s="12">
        <v>5.4</v>
      </c>
      <c r="X241" s="6">
        <v>107</v>
      </c>
      <c r="Y241" s="11">
        <f>VLOOKUP(B241,calculo!$C$5:$D$29,2,FALSE)</f>
        <v>0.23798636243209326</v>
      </c>
      <c r="Z241" s="11">
        <f>VLOOKUP(B241,calculo!$C$5:$E$29,3,FALSE)</f>
        <v>0.22360173226397251</v>
      </c>
      <c r="AA241" s="12">
        <f t="shared" si="11"/>
        <v>927.9693486590038</v>
      </c>
    </row>
    <row r="242" spans="1:27">
      <c r="A242">
        <v>2010</v>
      </c>
      <c r="B242" s="13" t="s">
        <v>55</v>
      </c>
      <c r="C242" s="13" t="s">
        <v>56</v>
      </c>
      <c r="D242" s="12">
        <v>6.23</v>
      </c>
      <c r="E242" s="17">
        <f t="shared" si="9"/>
        <v>6230</v>
      </c>
      <c r="F242" s="12">
        <v>894.8</v>
      </c>
      <c r="G242" s="7">
        <v>33.4</v>
      </c>
      <c r="H242" s="7">
        <v>113</v>
      </c>
      <c r="I242" s="12">
        <v>56.5</v>
      </c>
      <c r="J242" s="13" t="s">
        <v>35</v>
      </c>
      <c r="K242" s="13" t="s">
        <v>30</v>
      </c>
      <c r="L242">
        <v>77</v>
      </c>
      <c r="M242">
        <v>22022</v>
      </c>
      <c r="N242" s="15">
        <f>O242/100</f>
        <v>0.504</v>
      </c>
      <c r="O242" s="14">
        <v>50.4</v>
      </c>
      <c r="P242">
        <v>57.5</v>
      </c>
      <c r="Q242">
        <v>0.03</v>
      </c>
      <c r="R242">
        <v>0.1</v>
      </c>
      <c r="S242">
        <v>0</v>
      </c>
      <c r="T242" s="15">
        <f t="shared" si="10"/>
        <v>0.13100000000000001</v>
      </c>
      <c r="U242">
        <v>13.1</v>
      </c>
      <c r="V242">
        <v>20</v>
      </c>
      <c r="W242" s="12">
        <v>23.4</v>
      </c>
      <c r="X242" s="6">
        <v>428</v>
      </c>
      <c r="Y242" s="11">
        <f>VLOOKUP(B242,calculo!$C$5:$D$29,2,FALSE)</f>
        <v>6.009196571513753E-2</v>
      </c>
      <c r="Z242" s="11">
        <f>VLOOKUP(B242,calculo!$C$5:$E$29,3,FALSE)</f>
        <v>2.2334714455911175E-2</v>
      </c>
      <c r="AA242" s="12">
        <f t="shared" si="11"/>
        <v>186.52694610778443</v>
      </c>
    </row>
    <row r="243" spans="1:27">
      <c r="A243">
        <v>2011</v>
      </c>
      <c r="B243" s="13" t="s">
        <v>55</v>
      </c>
      <c r="C243" s="13" t="s">
        <v>56</v>
      </c>
      <c r="D243" s="12">
        <v>6.6</v>
      </c>
      <c r="E243" s="17">
        <f t="shared" si="9"/>
        <v>6600</v>
      </c>
      <c r="F243" s="12">
        <v>869.9</v>
      </c>
      <c r="G243" s="7">
        <v>31.7</v>
      </c>
      <c r="H243" s="7">
        <v>75.400000000000006</v>
      </c>
      <c r="I243" s="12">
        <v>149.6</v>
      </c>
      <c r="J243" s="13" t="s">
        <v>35</v>
      </c>
      <c r="K243" s="13" t="s">
        <v>30</v>
      </c>
      <c r="L243">
        <v>96</v>
      </c>
      <c r="M243">
        <v>6336</v>
      </c>
      <c r="N243" s="15">
        <f>O243/100</f>
        <v>0.81499999999999995</v>
      </c>
      <c r="O243" s="14">
        <v>81.5</v>
      </c>
      <c r="P243">
        <v>40.299999999999997</v>
      </c>
      <c r="Q243">
        <v>0.12</v>
      </c>
      <c r="R243">
        <v>0.16</v>
      </c>
      <c r="S243">
        <v>0</v>
      </c>
      <c r="T243" s="15">
        <f t="shared" si="10"/>
        <v>0.12300000000000001</v>
      </c>
      <c r="U243">
        <v>12.3</v>
      </c>
      <c r="V243">
        <v>23</v>
      </c>
      <c r="W243" s="12">
        <v>27.5</v>
      </c>
      <c r="X243" s="6">
        <v>48</v>
      </c>
      <c r="Y243" s="11">
        <f>VLOOKUP(B243,calculo!$C$5:$D$29,2,FALSE)</f>
        <v>6.009196571513753E-2</v>
      </c>
      <c r="Z243" s="11">
        <f>VLOOKUP(B243,calculo!$C$5:$E$29,3,FALSE)</f>
        <v>2.2334714455911175E-2</v>
      </c>
      <c r="AA243" s="12">
        <f t="shared" si="11"/>
        <v>208.20189274447949</v>
      </c>
    </row>
    <row r="244" spans="1:27">
      <c r="A244">
        <v>2012</v>
      </c>
      <c r="B244" s="13" t="s">
        <v>55</v>
      </c>
      <c r="C244" s="13" t="s">
        <v>56</v>
      </c>
      <c r="D244" s="12">
        <v>7</v>
      </c>
      <c r="E244" s="17">
        <f t="shared" si="9"/>
        <v>7000</v>
      </c>
      <c r="F244" s="12">
        <v>867.2</v>
      </c>
      <c r="G244" s="7">
        <v>2.8</v>
      </c>
      <c r="H244" s="7">
        <v>5.6</v>
      </c>
      <c r="I244" s="12">
        <v>55.7</v>
      </c>
      <c r="J244" s="13" t="s">
        <v>34</v>
      </c>
      <c r="K244" s="13" t="s">
        <v>36</v>
      </c>
      <c r="L244">
        <v>73</v>
      </c>
      <c r="M244">
        <v>6716</v>
      </c>
      <c r="N244" s="15">
        <f>O244/100</f>
        <v>0.69099999999999995</v>
      </c>
      <c r="O244" s="14">
        <v>69.099999999999994</v>
      </c>
      <c r="P244">
        <v>41.2</v>
      </c>
      <c r="Q244">
        <v>0.11</v>
      </c>
      <c r="R244">
        <v>0.22</v>
      </c>
      <c r="S244">
        <v>0</v>
      </c>
      <c r="T244" s="15">
        <f t="shared" si="10"/>
        <v>0.129</v>
      </c>
      <c r="U244">
        <v>12.9</v>
      </c>
      <c r="V244">
        <v>26</v>
      </c>
      <c r="W244" s="12">
        <v>15.5</v>
      </c>
      <c r="X244" s="6">
        <v>170</v>
      </c>
      <c r="Y244" s="11">
        <f>VLOOKUP(B244,calculo!$C$5:$D$29,2,FALSE)</f>
        <v>6.009196571513753E-2</v>
      </c>
      <c r="Z244" s="11">
        <f>VLOOKUP(B244,calculo!$C$5:$E$29,3,FALSE)</f>
        <v>2.2334714455911175E-2</v>
      </c>
      <c r="AA244" s="12">
        <f t="shared" si="11"/>
        <v>2500</v>
      </c>
    </row>
    <row r="245" spans="1:27">
      <c r="A245">
        <v>2013</v>
      </c>
      <c r="B245" s="13" t="s">
        <v>55</v>
      </c>
      <c r="C245" s="13" t="s">
        <v>56</v>
      </c>
      <c r="D245" s="12">
        <v>7.42</v>
      </c>
      <c r="E245" s="17">
        <f t="shared" si="9"/>
        <v>7420</v>
      </c>
      <c r="F245" s="12">
        <v>1077.3</v>
      </c>
      <c r="G245" s="7">
        <v>50.6</v>
      </c>
      <c r="H245" s="7">
        <v>157.5</v>
      </c>
      <c r="I245" s="12">
        <v>128.80000000000001</v>
      </c>
      <c r="J245" s="13" t="s">
        <v>34</v>
      </c>
      <c r="K245" s="13" t="s">
        <v>30</v>
      </c>
      <c r="L245">
        <v>63</v>
      </c>
      <c r="M245">
        <v>7056</v>
      </c>
      <c r="N245" s="15">
        <f>O245/100</f>
        <v>0.73099999999999998</v>
      </c>
      <c r="O245" s="14">
        <v>73.099999999999994</v>
      </c>
      <c r="P245">
        <v>44</v>
      </c>
      <c r="Q245">
        <v>7.0000000000000007E-2</v>
      </c>
      <c r="R245">
        <v>0.28000000000000003</v>
      </c>
      <c r="S245">
        <v>0</v>
      </c>
      <c r="T245" s="15">
        <f t="shared" si="10"/>
        <v>0.155</v>
      </c>
      <c r="U245">
        <v>15.5</v>
      </c>
      <c r="V245">
        <v>29</v>
      </c>
      <c r="W245" s="12">
        <v>18</v>
      </c>
      <c r="X245" s="6">
        <v>100</v>
      </c>
      <c r="Y245" s="11">
        <f>VLOOKUP(B245,calculo!$C$5:$D$29,2,FALSE)</f>
        <v>6.009196571513753E-2</v>
      </c>
      <c r="Z245" s="11">
        <f>VLOOKUP(B245,calculo!$C$5:$E$29,3,FALSE)</f>
        <v>2.2334714455911175E-2</v>
      </c>
      <c r="AA245" s="12">
        <f t="shared" si="11"/>
        <v>146.64031620553359</v>
      </c>
    </row>
    <row r="246" spans="1:27">
      <c r="A246">
        <v>2014</v>
      </c>
      <c r="B246" s="13" t="s">
        <v>55</v>
      </c>
      <c r="C246" s="13" t="s">
        <v>56</v>
      </c>
      <c r="D246" s="12">
        <v>7.87</v>
      </c>
      <c r="E246" s="17">
        <f t="shared" si="9"/>
        <v>7870</v>
      </c>
      <c r="F246" s="12">
        <v>685.4</v>
      </c>
      <c r="G246" s="7">
        <v>55.4</v>
      </c>
      <c r="H246" s="7">
        <v>147.9</v>
      </c>
      <c r="I246" s="12">
        <v>94.6</v>
      </c>
      <c r="J246" s="13" t="s">
        <v>29</v>
      </c>
      <c r="K246" s="13" t="s">
        <v>36</v>
      </c>
      <c r="L246">
        <v>117</v>
      </c>
      <c r="M246">
        <v>27729</v>
      </c>
      <c r="N246" s="15">
        <f>O246/100</f>
        <v>0.51600000000000001</v>
      </c>
      <c r="O246" s="14">
        <v>51.6</v>
      </c>
      <c r="P246">
        <v>84.1</v>
      </c>
      <c r="Q246">
        <v>0.06</v>
      </c>
      <c r="R246">
        <v>0.34</v>
      </c>
      <c r="S246">
        <v>0</v>
      </c>
      <c r="T246" s="15">
        <f t="shared" si="10"/>
        <v>0.16699999999999998</v>
      </c>
      <c r="U246">
        <v>16.7</v>
      </c>
      <c r="V246">
        <v>32</v>
      </c>
      <c r="W246" s="12">
        <v>28.3</v>
      </c>
      <c r="X246" s="6">
        <v>267</v>
      </c>
      <c r="Y246" s="11">
        <f>VLOOKUP(B246,calculo!$C$5:$D$29,2,FALSE)</f>
        <v>6.009196571513753E-2</v>
      </c>
      <c r="Z246" s="11">
        <f>VLOOKUP(B246,calculo!$C$5:$E$29,3,FALSE)</f>
        <v>2.2334714455911175E-2</v>
      </c>
      <c r="AA246" s="12">
        <f t="shared" si="11"/>
        <v>142.05776173285199</v>
      </c>
    </row>
    <row r="247" spans="1:27">
      <c r="A247">
        <v>2015</v>
      </c>
      <c r="B247" s="13" t="s">
        <v>55</v>
      </c>
      <c r="C247" s="13" t="s">
        <v>56</v>
      </c>
      <c r="D247" s="12">
        <v>8.34</v>
      </c>
      <c r="E247" s="17">
        <f t="shared" si="9"/>
        <v>8340</v>
      </c>
      <c r="F247" s="12">
        <v>1005.4</v>
      </c>
      <c r="G247" s="7">
        <v>26.8</v>
      </c>
      <c r="H247" s="7">
        <v>63.9</v>
      </c>
      <c r="I247" s="12">
        <v>107.9</v>
      </c>
      <c r="J247" s="13" t="s">
        <v>33</v>
      </c>
      <c r="K247" s="13" t="s">
        <v>32</v>
      </c>
      <c r="L247">
        <v>41</v>
      </c>
      <c r="M247">
        <v>5248</v>
      </c>
      <c r="N247" s="15">
        <f>O247/100</f>
        <v>0.63200000000000001</v>
      </c>
      <c r="O247" s="14">
        <v>63.2</v>
      </c>
      <c r="P247">
        <v>58.3</v>
      </c>
      <c r="Q247">
        <v>0.03</v>
      </c>
      <c r="R247">
        <v>0.4</v>
      </c>
      <c r="S247">
        <v>0</v>
      </c>
      <c r="T247" s="15">
        <f t="shared" si="10"/>
        <v>0.19699999999999998</v>
      </c>
      <c r="U247">
        <v>19.7</v>
      </c>
      <c r="V247">
        <v>35</v>
      </c>
      <c r="W247" s="12">
        <v>6.8</v>
      </c>
      <c r="X247" s="6">
        <v>194</v>
      </c>
      <c r="Y247" s="11">
        <f>VLOOKUP(B247,calculo!$C$5:$D$29,2,FALSE)</f>
        <v>6.009196571513753E-2</v>
      </c>
      <c r="Z247" s="11">
        <f>VLOOKUP(B247,calculo!$C$5:$E$29,3,FALSE)</f>
        <v>2.2334714455911175E-2</v>
      </c>
      <c r="AA247" s="12">
        <f t="shared" si="11"/>
        <v>311.19402985074623</v>
      </c>
    </row>
    <row r="248" spans="1:27">
      <c r="A248">
        <v>2016</v>
      </c>
      <c r="B248" s="13" t="s">
        <v>55</v>
      </c>
      <c r="C248" s="13" t="s">
        <v>56</v>
      </c>
      <c r="D248" s="12">
        <v>8.84</v>
      </c>
      <c r="E248" s="17">
        <f t="shared" si="9"/>
        <v>8840</v>
      </c>
      <c r="F248" s="12">
        <v>802.5</v>
      </c>
      <c r="G248" s="7">
        <v>29.2</v>
      </c>
      <c r="H248" s="7">
        <v>45.5</v>
      </c>
      <c r="I248" s="12">
        <v>55.2</v>
      </c>
      <c r="J248" s="13" t="s">
        <v>33</v>
      </c>
      <c r="K248" s="13" t="s">
        <v>36</v>
      </c>
      <c r="L248">
        <v>5</v>
      </c>
      <c r="M248">
        <v>520</v>
      </c>
      <c r="N248" s="15">
        <f>O248/100</f>
        <v>0.61699999999999999</v>
      </c>
      <c r="O248" s="14">
        <v>61.7</v>
      </c>
      <c r="P248">
        <v>37</v>
      </c>
      <c r="Q248">
        <v>0.2</v>
      </c>
      <c r="R248">
        <v>0.46</v>
      </c>
      <c r="S248">
        <v>0</v>
      </c>
      <c r="T248" s="15">
        <f t="shared" si="10"/>
        <v>0.17399999999999999</v>
      </c>
      <c r="U248">
        <v>17.399999999999999</v>
      </c>
      <c r="V248">
        <v>38</v>
      </c>
      <c r="W248" s="12">
        <v>1.6</v>
      </c>
      <c r="X248" s="6">
        <v>422</v>
      </c>
      <c r="Y248" s="11">
        <f>VLOOKUP(B248,calculo!$C$5:$D$29,2,FALSE)</f>
        <v>6.009196571513753E-2</v>
      </c>
      <c r="Z248" s="11">
        <f>VLOOKUP(B248,calculo!$C$5:$E$29,3,FALSE)</f>
        <v>2.2334714455911175E-2</v>
      </c>
      <c r="AA248" s="12">
        <f t="shared" si="11"/>
        <v>302.73972602739724</v>
      </c>
    </row>
    <row r="249" spans="1:27">
      <c r="A249">
        <v>2017</v>
      </c>
      <c r="B249" s="13" t="s">
        <v>55</v>
      </c>
      <c r="C249" s="13" t="s">
        <v>56</v>
      </c>
      <c r="D249" s="12">
        <v>9.3699999999999992</v>
      </c>
      <c r="E249" s="17">
        <f t="shared" si="9"/>
        <v>9370</v>
      </c>
      <c r="F249" s="12">
        <v>1231.8</v>
      </c>
      <c r="G249" s="7">
        <v>41.7</v>
      </c>
      <c r="H249" s="7">
        <v>71.8</v>
      </c>
      <c r="I249" s="12">
        <v>64.7</v>
      </c>
      <c r="J249" s="13" t="s">
        <v>33</v>
      </c>
      <c r="K249" s="13" t="s">
        <v>32</v>
      </c>
      <c r="L249">
        <v>72</v>
      </c>
      <c r="M249">
        <v>13608</v>
      </c>
      <c r="N249" s="15">
        <f>O249/100</f>
        <v>0.61499999999999999</v>
      </c>
      <c r="O249" s="14">
        <v>61.5</v>
      </c>
      <c r="P249">
        <v>80.7</v>
      </c>
      <c r="Q249">
        <v>0.3</v>
      </c>
      <c r="R249">
        <v>0.52</v>
      </c>
      <c r="S249">
        <v>0</v>
      </c>
      <c r="T249" s="15">
        <f t="shared" si="10"/>
        <v>0.223</v>
      </c>
      <c r="U249">
        <v>22.3</v>
      </c>
      <c r="V249">
        <v>41</v>
      </c>
      <c r="W249" s="12">
        <v>15.3</v>
      </c>
      <c r="X249" s="6">
        <v>387</v>
      </c>
      <c r="Y249" s="11">
        <f>VLOOKUP(B249,calculo!$C$5:$D$29,2,FALSE)</f>
        <v>6.009196571513753E-2</v>
      </c>
      <c r="Z249" s="11">
        <f>VLOOKUP(B249,calculo!$C$5:$E$29,3,FALSE)</f>
        <v>2.2334714455911175E-2</v>
      </c>
      <c r="AA249" s="12">
        <f t="shared" si="11"/>
        <v>224.70023980815347</v>
      </c>
    </row>
    <row r="250" spans="1:27">
      <c r="A250">
        <v>2018</v>
      </c>
      <c r="B250" s="13" t="s">
        <v>55</v>
      </c>
      <c r="C250" s="13" t="s">
        <v>56</v>
      </c>
      <c r="D250" s="12">
        <v>9.94</v>
      </c>
      <c r="E250" s="17">
        <f t="shared" si="9"/>
        <v>9940</v>
      </c>
      <c r="F250" s="12">
        <v>802.7</v>
      </c>
      <c r="G250" s="7">
        <v>55</v>
      </c>
      <c r="H250" s="7">
        <v>187.3</v>
      </c>
      <c r="I250" s="12">
        <v>69.2</v>
      </c>
      <c r="J250" s="13" t="s">
        <v>35</v>
      </c>
      <c r="K250" s="13" t="s">
        <v>36</v>
      </c>
      <c r="L250">
        <v>110</v>
      </c>
      <c r="M250">
        <v>24860</v>
      </c>
      <c r="N250" s="15">
        <f>O250/100</f>
        <v>0.54600000000000004</v>
      </c>
      <c r="O250" s="14">
        <v>54.6</v>
      </c>
      <c r="P250">
        <v>54.5</v>
      </c>
      <c r="Q250">
        <v>0.36</v>
      </c>
      <c r="R250">
        <v>0.57999999999999996</v>
      </c>
      <c r="S250">
        <v>0</v>
      </c>
      <c r="T250" s="15">
        <f t="shared" si="10"/>
        <v>0.24399999999999999</v>
      </c>
      <c r="U250">
        <v>24.4</v>
      </c>
      <c r="V250">
        <v>44</v>
      </c>
      <c r="W250" s="12">
        <v>30.4</v>
      </c>
      <c r="X250" s="6">
        <v>118</v>
      </c>
      <c r="Y250" s="11">
        <f>VLOOKUP(B250,calculo!$C$5:$D$29,2,FALSE)</f>
        <v>6.009196571513753E-2</v>
      </c>
      <c r="Z250" s="11">
        <f>VLOOKUP(B250,calculo!$C$5:$E$29,3,FALSE)</f>
        <v>2.2334714455911175E-2</v>
      </c>
      <c r="AA250" s="12">
        <f t="shared" si="11"/>
        <v>180.72727272727272</v>
      </c>
    </row>
    <row r="251" spans="1:27">
      <c r="A251">
        <v>2019</v>
      </c>
      <c r="B251" s="13" t="s">
        <v>55</v>
      </c>
      <c r="C251" s="13" t="s">
        <v>56</v>
      </c>
      <c r="D251" s="12">
        <v>10.53</v>
      </c>
      <c r="E251" s="17">
        <f t="shared" si="9"/>
        <v>10530</v>
      </c>
      <c r="F251" s="12">
        <v>1431.4</v>
      </c>
      <c r="G251" s="7">
        <v>41.3</v>
      </c>
      <c r="H251" s="7">
        <v>131</v>
      </c>
      <c r="I251" s="12">
        <v>133.1</v>
      </c>
      <c r="J251" s="13" t="s">
        <v>35</v>
      </c>
      <c r="K251" s="13" t="s">
        <v>36</v>
      </c>
      <c r="L251">
        <v>71</v>
      </c>
      <c r="M251">
        <v>14697</v>
      </c>
      <c r="N251" s="15">
        <f>O251/100</f>
        <v>0.70700000000000007</v>
      </c>
      <c r="O251" s="14">
        <v>70.7</v>
      </c>
      <c r="P251">
        <v>55.8</v>
      </c>
      <c r="Q251">
        <v>0.35</v>
      </c>
      <c r="R251">
        <v>0.64</v>
      </c>
      <c r="S251">
        <v>0</v>
      </c>
      <c r="T251" s="15">
        <f t="shared" si="10"/>
        <v>0.25</v>
      </c>
      <c r="U251">
        <v>25</v>
      </c>
      <c r="V251">
        <v>47</v>
      </c>
      <c r="W251" s="12">
        <v>18.399999999999999</v>
      </c>
      <c r="X251" s="6">
        <v>169</v>
      </c>
      <c r="Y251" s="11">
        <f>VLOOKUP(B251,calculo!$C$5:$D$29,2,FALSE)</f>
        <v>6.009196571513753E-2</v>
      </c>
      <c r="Z251" s="11">
        <f>VLOOKUP(B251,calculo!$C$5:$E$29,3,FALSE)</f>
        <v>2.2334714455911175E-2</v>
      </c>
      <c r="AA251" s="12">
        <f t="shared" si="11"/>
        <v>254.96368038740923</v>
      </c>
    </row>
    <row r="252" spans="1:27">
      <c r="A252">
        <v>2020</v>
      </c>
      <c r="B252" s="13" t="s">
        <v>55</v>
      </c>
      <c r="C252" s="13" t="s">
        <v>56</v>
      </c>
      <c r="D252" s="12">
        <v>11.17</v>
      </c>
      <c r="E252" s="17">
        <f t="shared" si="9"/>
        <v>11170</v>
      </c>
      <c r="F252" s="12">
        <v>742.9</v>
      </c>
      <c r="G252" s="7">
        <v>2.1</v>
      </c>
      <c r="H252" s="7">
        <v>6.2</v>
      </c>
      <c r="I252" s="12">
        <v>117.9</v>
      </c>
      <c r="J252" s="13" t="s">
        <v>35</v>
      </c>
      <c r="K252" s="13" t="s">
        <v>30</v>
      </c>
      <c r="L252">
        <v>22</v>
      </c>
      <c r="M252">
        <v>3146</v>
      </c>
      <c r="N252" s="15">
        <f>O252/100</f>
        <v>0.50900000000000001</v>
      </c>
      <c r="O252" s="14">
        <v>50.9</v>
      </c>
      <c r="P252">
        <v>37.4</v>
      </c>
      <c r="Q252">
        <v>0.48</v>
      </c>
      <c r="R252">
        <v>1.18</v>
      </c>
      <c r="S252">
        <v>0.48</v>
      </c>
      <c r="T252" s="15">
        <f t="shared" si="10"/>
        <v>0.26100000000000001</v>
      </c>
      <c r="U252">
        <v>26.1</v>
      </c>
      <c r="V252">
        <v>50</v>
      </c>
      <c r="W252" s="12">
        <v>4.2</v>
      </c>
      <c r="X252" s="6">
        <v>435</v>
      </c>
      <c r="Y252" s="11">
        <f>VLOOKUP(B252,calculo!$C$5:$D$29,2,FALSE)</f>
        <v>6.009196571513753E-2</v>
      </c>
      <c r="Z252" s="11">
        <f>VLOOKUP(B252,calculo!$C$5:$E$29,3,FALSE)</f>
        <v>2.2334714455911175E-2</v>
      </c>
      <c r="AA252" s="12">
        <f t="shared" si="11"/>
        <v>5319.0476190476193</v>
      </c>
    </row>
    <row r="253" spans="1:27">
      <c r="A253">
        <v>2021</v>
      </c>
      <c r="B253" s="13" t="s">
        <v>55</v>
      </c>
      <c r="C253" s="13" t="s">
        <v>56</v>
      </c>
      <c r="D253" s="12">
        <v>11.84</v>
      </c>
      <c r="E253" s="17">
        <f t="shared" si="9"/>
        <v>11840</v>
      </c>
      <c r="F253" s="12">
        <v>1281</v>
      </c>
      <c r="G253" s="7">
        <v>8.9</v>
      </c>
      <c r="H253" s="7">
        <v>17.100000000000001</v>
      </c>
      <c r="I253" s="12">
        <v>67.3</v>
      </c>
      <c r="J253" s="13" t="s">
        <v>34</v>
      </c>
      <c r="K253" s="13" t="s">
        <v>30</v>
      </c>
      <c r="L253">
        <v>43</v>
      </c>
      <c r="M253">
        <v>12728</v>
      </c>
      <c r="N253" s="15">
        <f>O253/100</f>
        <v>0.59899999999999998</v>
      </c>
      <c r="O253" s="14">
        <v>59.9</v>
      </c>
      <c r="P253">
        <v>97</v>
      </c>
      <c r="Q253">
        <v>0.6</v>
      </c>
      <c r="R253">
        <v>1.31</v>
      </c>
      <c r="S253">
        <v>0.55000000000000004</v>
      </c>
      <c r="T253" s="15">
        <f t="shared" si="10"/>
        <v>0.26600000000000001</v>
      </c>
      <c r="U253">
        <v>26.6</v>
      </c>
      <c r="V253">
        <v>53</v>
      </c>
      <c r="W253" s="12">
        <v>9.1</v>
      </c>
      <c r="X253" s="6">
        <v>81</v>
      </c>
      <c r="Y253" s="11">
        <f>VLOOKUP(B253,calculo!$C$5:$D$29,2,FALSE)</f>
        <v>6.009196571513753E-2</v>
      </c>
      <c r="Z253" s="11">
        <f>VLOOKUP(B253,calculo!$C$5:$E$29,3,FALSE)</f>
        <v>2.2334714455911175E-2</v>
      </c>
      <c r="AA253" s="12">
        <f t="shared" si="11"/>
        <v>1330.3370786516853</v>
      </c>
    </row>
    <row r="254" spans="1:27">
      <c r="A254">
        <v>2022</v>
      </c>
      <c r="B254" s="13" t="s">
        <v>55</v>
      </c>
      <c r="C254" s="13" t="s">
        <v>56</v>
      </c>
      <c r="D254" s="12">
        <v>12.55</v>
      </c>
      <c r="E254" s="17">
        <f t="shared" si="9"/>
        <v>12550</v>
      </c>
      <c r="F254" s="12">
        <v>1573.5</v>
      </c>
      <c r="G254" s="7">
        <v>52.5</v>
      </c>
      <c r="H254" s="7">
        <v>150.19999999999999</v>
      </c>
      <c r="I254" s="12">
        <v>79.400000000000006</v>
      </c>
      <c r="J254" s="13" t="s">
        <v>33</v>
      </c>
      <c r="K254" s="13" t="s">
        <v>32</v>
      </c>
      <c r="L254">
        <v>110</v>
      </c>
      <c r="M254">
        <v>26620</v>
      </c>
      <c r="N254" s="15">
        <f>O254/100</f>
        <v>0.746</v>
      </c>
      <c r="O254" s="14">
        <v>74.599999999999994</v>
      </c>
      <c r="P254">
        <v>68.2</v>
      </c>
      <c r="Q254">
        <v>0.66</v>
      </c>
      <c r="R254">
        <v>0.82</v>
      </c>
      <c r="S254">
        <v>0</v>
      </c>
      <c r="T254" s="15">
        <f t="shared" si="10"/>
        <v>0.30399999999999999</v>
      </c>
      <c r="U254">
        <v>30.4</v>
      </c>
      <c r="V254">
        <v>56</v>
      </c>
      <c r="W254" s="12">
        <v>22.1</v>
      </c>
      <c r="X254" s="6">
        <v>102</v>
      </c>
      <c r="Y254" s="11">
        <f>VLOOKUP(B254,calculo!$C$5:$D$29,2,FALSE)</f>
        <v>6.009196571513753E-2</v>
      </c>
      <c r="Z254" s="11">
        <f>VLOOKUP(B254,calculo!$C$5:$E$29,3,FALSE)</f>
        <v>2.2334714455911175E-2</v>
      </c>
      <c r="AA254" s="12">
        <f t="shared" si="11"/>
        <v>239.04761904761904</v>
      </c>
    </row>
    <row r="255" spans="1:27">
      <c r="A255">
        <v>2023</v>
      </c>
      <c r="B255" s="13" t="s">
        <v>55</v>
      </c>
      <c r="C255" s="13" t="s">
        <v>56</v>
      </c>
      <c r="D255" s="12">
        <v>13.3</v>
      </c>
      <c r="E255" s="17">
        <f t="shared" si="9"/>
        <v>13300</v>
      </c>
      <c r="F255" s="12">
        <v>1470.9</v>
      </c>
      <c r="G255" s="7">
        <v>8.8000000000000007</v>
      </c>
      <c r="H255" s="7">
        <v>19.100000000000001</v>
      </c>
      <c r="I255" s="12">
        <v>47.1</v>
      </c>
      <c r="J255" s="13" t="s">
        <v>29</v>
      </c>
      <c r="K255" s="13" t="s">
        <v>30</v>
      </c>
      <c r="L255">
        <v>30</v>
      </c>
      <c r="M255">
        <v>1980</v>
      </c>
      <c r="N255" s="15">
        <f>O255/100</f>
        <v>0.90300000000000002</v>
      </c>
      <c r="O255" s="14">
        <v>90.3</v>
      </c>
      <c r="P255">
        <v>40.299999999999997</v>
      </c>
      <c r="Q255">
        <v>0.69</v>
      </c>
      <c r="R255">
        <v>0.88</v>
      </c>
      <c r="S255">
        <v>0</v>
      </c>
      <c r="T255" s="15">
        <f t="shared" si="10"/>
        <v>0.318</v>
      </c>
      <c r="U255">
        <v>31.8</v>
      </c>
      <c r="V255">
        <v>59</v>
      </c>
      <c r="W255" s="12">
        <v>6</v>
      </c>
      <c r="X255" s="6">
        <v>314</v>
      </c>
      <c r="Y255" s="11">
        <f>VLOOKUP(B255,calculo!$C$5:$D$29,2,FALSE)</f>
        <v>6.009196571513753E-2</v>
      </c>
      <c r="Z255" s="11">
        <f>VLOOKUP(B255,calculo!$C$5:$E$29,3,FALSE)</f>
        <v>2.2334714455911175E-2</v>
      </c>
      <c r="AA255" s="12">
        <f t="shared" si="11"/>
        <v>1511.3636363636363</v>
      </c>
    </row>
    <row r="256" spans="1:27">
      <c r="A256">
        <v>2024</v>
      </c>
      <c r="B256" s="13" t="s">
        <v>55</v>
      </c>
      <c r="C256" s="13" t="s">
        <v>56</v>
      </c>
      <c r="D256" s="12">
        <v>14.1</v>
      </c>
      <c r="E256" s="17">
        <f t="shared" si="9"/>
        <v>14100</v>
      </c>
      <c r="F256" s="12">
        <v>1654.6</v>
      </c>
      <c r="G256" s="7">
        <v>25.7</v>
      </c>
      <c r="H256" s="7">
        <v>84</v>
      </c>
      <c r="I256" s="12">
        <v>56.6</v>
      </c>
      <c r="J256" s="13" t="s">
        <v>31</v>
      </c>
      <c r="K256" s="13" t="s">
        <v>36</v>
      </c>
      <c r="L256">
        <v>30</v>
      </c>
      <c r="M256">
        <v>5190</v>
      </c>
      <c r="N256" s="15">
        <f>O256/100</f>
        <v>0.74099999999999999</v>
      </c>
      <c r="O256" s="14">
        <v>74.099999999999994</v>
      </c>
      <c r="P256">
        <v>87.7</v>
      </c>
      <c r="Q256">
        <v>0.87</v>
      </c>
      <c r="R256">
        <v>0.94</v>
      </c>
      <c r="S256">
        <v>0</v>
      </c>
      <c r="T256" s="15">
        <f t="shared" si="10"/>
        <v>0.34</v>
      </c>
      <c r="U256">
        <v>34</v>
      </c>
      <c r="V256">
        <v>62</v>
      </c>
      <c r="W256" s="12">
        <v>11.1</v>
      </c>
      <c r="X256" s="6">
        <v>95</v>
      </c>
      <c r="Y256" s="11">
        <f>VLOOKUP(B256,calculo!$C$5:$D$29,2,FALSE)</f>
        <v>6.009196571513753E-2</v>
      </c>
      <c r="Z256" s="11">
        <f>VLOOKUP(B256,calculo!$C$5:$E$29,3,FALSE)</f>
        <v>2.2334714455911175E-2</v>
      </c>
      <c r="AA256" s="12">
        <f t="shared" si="11"/>
        <v>548.63813229571986</v>
      </c>
    </row>
    <row r="257" spans="1:27">
      <c r="A257">
        <v>2025</v>
      </c>
      <c r="B257" s="13" t="s">
        <v>55</v>
      </c>
      <c r="C257" s="13" t="s">
        <v>56</v>
      </c>
      <c r="D257" s="12">
        <v>14.95</v>
      </c>
      <c r="E257" s="17">
        <f t="shared" si="9"/>
        <v>14950</v>
      </c>
      <c r="F257" s="12">
        <v>1246.3</v>
      </c>
      <c r="G257" s="7">
        <v>47.9</v>
      </c>
      <c r="H257" s="7">
        <v>115.1</v>
      </c>
      <c r="I257" s="12">
        <v>52</v>
      </c>
      <c r="J257" s="13" t="s">
        <v>34</v>
      </c>
      <c r="K257" s="13" t="s">
        <v>32</v>
      </c>
      <c r="L257">
        <v>70</v>
      </c>
      <c r="M257">
        <v>15260</v>
      </c>
      <c r="N257" s="15">
        <f>O257/100</f>
        <v>0.53400000000000003</v>
      </c>
      <c r="O257" s="14">
        <v>53.4</v>
      </c>
      <c r="P257">
        <v>54.1</v>
      </c>
      <c r="Q257">
        <v>0.9</v>
      </c>
      <c r="R257">
        <v>1</v>
      </c>
      <c r="S257">
        <v>0</v>
      </c>
      <c r="T257" s="15">
        <f t="shared" si="10"/>
        <v>0.374</v>
      </c>
      <c r="U257">
        <v>37.4</v>
      </c>
      <c r="V257">
        <v>65</v>
      </c>
      <c r="W257" s="12">
        <v>25.9</v>
      </c>
      <c r="X257" s="6">
        <v>241</v>
      </c>
      <c r="Y257" s="11">
        <f>VLOOKUP(B257,calculo!$C$5:$D$29,2,FALSE)</f>
        <v>6.009196571513753E-2</v>
      </c>
      <c r="Z257" s="11">
        <f>VLOOKUP(B257,calculo!$C$5:$E$29,3,FALSE)</f>
        <v>2.2334714455911175E-2</v>
      </c>
      <c r="AA257" s="12">
        <f t="shared" si="11"/>
        <v>312.10855949895614</v>
      </c>
    </row>
    <row r="258" spans="1:27">
      <c r="A258">
        <v>2010</v>
      </c>
      <c r="B258" s="13" t="s">
        <v>57</v>
      </c>
      <c r="C258" s="13" t="s">
        <v>28</v>
      </c>
      <c r="D258" s="12">
        <v>1.22</v>
      </c>
      <c r="E258" s="17">
        <f t="shared" si="9"/>
        <v>1220</v>
      </c>
      <c r="F258" s="12">
        <v>151.30000000000001</v>
      </c>
      <c r="G258" s="7">
        <v>51.2</v>
      </c>
      <c r="H258" s="7">
        <v>132.6</v>
      </c>
      <c r="I258" s="12">
        <v>147.80000000000001</v>
      </c>
      <c r="J258" s="13" t="s">
        <v>31</v>
      </c>
      <c r="K258" s="13" t="s">
        <v>36</v>
      </c>
      <c r="L258">
        <v>86</v>
      </c>
      <c r="M258">
        <v>9890</v>
      </c>
      <c r="N258" s="15">
        <f>O258/100</f>
        <v>0.752</v>
      </c>
      <c r="O258" s="14">
        <v>75.2</v>
      </c>
      <c r="P258">
        <v>49.1</v>
      </c>
      <c r="Q258">
        <v>0.03</v>
      </c>
      <c r="R258">
        <v>0.1</v>
      </c>
      <c r="S258">
        <v>0</v>
      </c>
      <c r="T258" s="15">
        <f t="shared" si="10"/>
        <v>9.8000000000000004E-2</v>
      </c>
      <c r="U258">
        <v>9.8000000000000007</v>
      </c>
      <c r="V258">
        <v>20</v>
      </c>
      <c r="W258" s="12">
        <v>23.9</v>
      </c>
      <c r="X258" s="6">
        <v>348</v>
      </c>
      <c r="Y258" s="11">
        <f>VLOOKUP(B258,calculo!$C$5:$D$29,2,FALSE)</f>
        <v>0.10600651880436751</v>
      </c>
      <c r="Z258" s="11">
        <f>VLOOKUP(B258,calculo!$C$5:$E$29,3,FALSE)</f>
        <v>0.10300308285239956</v>
      </c>
      <c r="AA258" s="12">
        <f t="shared" si="11"/>
        <v>23.828125</v>
      </c>
    </row>
    <row r="259" spans="1:27">
      <c r="A259">
        <v>2011</v>
      </c>
      <c r="B259" s="13" t="s">
        <v>57</v>
      </c>
      <c r="C259" s="13" t="s">
        <v>28</v>
      </c>
      <c r="D259" s="12">
        <v>1.35</v>
      </c>
      <c r="E259" s="17">
        <f t="shared" ref="E259:E322" si="12">D259*1000</f>
        <v>1350</v>
      </c>
      <c r="F259" s="12">
        <v>149.19999999999999</v>
      </c>
      <c r="G259" s="7">
        <v>43</v>
      </c>
      <c r="H259" s="7">
        <v>96.7</v>
      </c>
      <c r="I259" s="12">
        <v>74.3</v>
      </c>
      <c r="J259" s="13" t="s">
        <v>34</v>
      </c>
      <c r="K259" s="13" t="s">
        <v>30</v>
      </c>
      <c r="L259">
        <v>79</v>
      </c>
      <c r="M259">
        <v>13509</v>
      </c>
      <c r="N259" s="15">
        <f>O259/100</f>
        <v>0.59799999999999998</v>
      </c>
      <c r="O259" s="14">
        <v>59.8</v>
      </c>
      <c r="P259">
        <v>74.599999999999994</v>
      </c>
      <c r="Q259">
        <v>0.11</v>
      </c>
      <c r="R259">
        <v>0.16</v>
      </c>
      <c r="S259">
        <v>0</v>
      </c>
      <c r="T259" s="15">
        <f t="shared" ref="T259:T322" si="13">U259/100</f>
        <v>0.111</v>
      </c>
      <c r="U259">
        <v>11.1</v>
      </c>
      <c r="V259">
        <v>23</v>
      </c>
      <c r="W259" s="12">
        <v>18.8</v>
      </c>
      <c r="X259" s="6">
        <v>58</v>
      </c>
      <c r="Y259" s="11">
        <f>VLOOKUP(B259,calculo!$C$5:$D$29,2,FALSE)</f>
        <v>0.10600651880436751</v>
      </c>
      <c r="Z259" s="11">
        <f>VLOOKUP(B259,calculo!$C$5:$E$29,3,FALSE)</f>
        <v>0.10300308285239956</v>
      </c>
      <c r="AA259" s="12">
        <f t="shared" ref="AA259:AA322" si="14">E259/G259</f>
        <v>31.395348837209301</v>
      </c>
    </row>
    <row r="260" spans="1:27">
      <c r="A260">
        <v>2012</v>
      </c>
      <c r="B260" s="13" t="s">
        <v>57</v>
      </c>
      <c r="C260" s="13" t="s">
        <v>28</v>
      </c>
      <c r="D260" s="12">
        <v>1.49</v>
      </c>
      <c r="E260" s="17">
        <f t="shared" si="12"/>
        <v>1490</v>
      </c>
      <c r="F260" s="12">
        <v>88.7</v>
      </c>
      <c r="G260" s="7">
        <v>8</v>
      </c>
      <c r="H260" s="7">
        <v>12.8</v>
      </c>
      <c r="I260" s="12">
        <v>99.7</v>
      </c>
      <c r="J260" s="13" t="s">
        <v>29</v>
      </c>
      <c r="K260" s="13" t="s">
        <v>30</v>
      </c>
      <c r="L260">
        <v>77</v>
      </c>
      <c r="M260">
        <v>23023</v>
      </c>
      <c r="N260" s="15">
        <f>O260/100</f>
        <v>0.86099999999999999</v>
      </c>
      <c r="O260" s="14">
        <v>86.1</v>
      </c>
      <c r="P260">
        <v>63.9</v>
      </c>
      <c r="Q260">
        <v>0.17</v>
      </c>
      <c r="R260">
        <v>0.22</v>
      </c>
      <c r="S260">
        <v>0</v>
      </c>
      <c r="T260" s="15">
        <f t="shared" si="13"/>
        <v>0.106</v>
      </c>
      <c r="U260">
        <v>10.6</v>
      </c>
      <c r="V260">
        <v>26</v>
      </c>
      <c r="W260" s="12">
        <v>22.1</v>
      </c>
      <c r="X260" s="6">
        <v>218</v>
      </c>
      <c r="Y260" s="11">
        <f>VLOOKUP(B260,calculo!$C$5:$D$29,2,FALSE)</f>
        <v>0.10600651880436751</v>
      </c>
      <c r="Z260" s="11">
        <f>VLOOKUP(B260,calculo!$C$5:$E$29,3,FALSE)</f>
        <v>0.10300308285239956</v>
      </c>
      <c r="AA260" s="12">
        <f t="shared" si="14"/>
        <v>186.25</v>
      </c>
    </row>
    <row r="261" spans="1:27">
      <c r="A261">
        <v>2013</v>
      </c>
      <c r="B261" s="13" t="s">
        <v>57</v>
      </c>
      <c r="C261" s="13" t="s">
        <v>28</v>
      </c>
      <c r="D261" s="12">
        <v>1.65</v>
      </c>
      <c r="E261" s="17">
        <f t="shared" si="12"/>
        <v>1650</v>
      </c>
      <c r="F261" s="12">
        <v>191.5</v>
      </c>
      <c r="G261" s="7">
        <v>22.1</v>
      </c>
      <c r="H261" s="7">
        <v>50.5</v>
      </c>
      <c r="I261" s="12">
        <v>49</v>
      </c>
      <c r="J261" s="13" t="s">
        <v>29</v>
      </c>
      <c r="K261" s="13" t="s">
        <v>30</v>
      </c>
      <c r="L261">
        <v>20</v>
      </c>
      <c r="M261">
        <v>5280</v>
      </c>
      <c r="N261" s="15">
        <f>O261/100</f>
        <v>0.9</v>
      </c>
      <c r="O261" s="14">
        <v>90</v>
      </c>
      <c r="P261">
        <v>68.400000000000006</v>
      </c>
      <c r="Q261">
        <v>0.06</v>
      </c>
      <c r="R261">
        <v>0.28000000000000003</v>
      </c>
      <c r="S261">
        <v>0</v>
      </c>
      <c r="T261" s="15">
        <f t="shared" si="13"/>
        <v>0.18</v>
      </c>
      <c r="U261">
        <v>18</v>
      </c>
      <c r="V261">
        <v>29</v>
      </c>
      <c r="W261" s="12">
        <v>6</v>
      </c>
      <c r="X261" s="6">
        <v>479</v>
      </c>
      <c r="Y261" s="11">
        <f>VLOOKUP(B261,calculo!$C$5:$D$29,2,FALSE)</f>
        <v>0.10600651880436751</v>
      </c>
      <c r="Z261" s="11">
        <f>VLOOKUP(B261,calculo!$C$5:$E$29,3,FALSE)</f>
        <v>0.10300308285239956</v>
      </c>
      <c r="AA261" s="12">
        <f t="shared" si="14"/>
        <v>74.660633484162886</v>
      </c>
    </row>
    <row r="262" spans="1:27">
      <c r="A262">
        <v>2014</v>
      </c>
      <c r="B262" s="13" t="s">
        <v>57</v>
      </c>
      <c r="C262" s="13" t="s">
        <v>28</v>
      </c>
      <c r="D262" s="12">
        <v>1.82</v>
      </c>
      <c r="E262" s="17">
        <f t="shared" si="12"/>
        <v>1820</v>
      </c>
      <c r="F262" s="12">
        <v>166.7</v>
      </c>
      <c r="G262" s="7">
        <v>43.3</v>
      </c>
      <c r="H262" s="7">
        <v>98.5</v>
      </c>
      <c r="I262" s="12">
        <v>100.6</v>
      </c>
      <c r="J262" s="13" t="s">
        <v>33</v>
      </c>
      <c r="K262" s="13" t="s">
        <v>30</v>
      </c>
      <c r="L262">
        <v>61</v>
      </c>
      <c r="M262">
        <v>5429</v>
      </c>
      <c r="N262" s="15">
        <f>O262/100</f>
        <v>0.8909999999999999</v>
      </c>
      <c r="O262" s="14">
        <v>89.1</v>
      </c>
      <c r="P262">
        <v>79.3</v>
      </c>
      <c r="Q262">
        <v>0.06</v>
      </c>
      <c r="R262">
        <v>0.34</v>
      </c>
      <c r="S262">
        <v>0</v>
      </c>
      <c r="T262" s="15">
        <f t="shared" si="13"/>
        <v>0.188</v>
      </c>
      <c r="U262">
        <v>18.8</v>
      </c>
      <c r="V262">
        <v>32</v>
      </c>
      <c r="W262" s="12">
        <v>18.3</v>
      </c>
      <c r="X262" s="6">
        <v>404</v>
      </c>
      <c r="Y262" s="11">
        <f>VLOOKUP(B262,calculo!$C$5:$D$29,2,FALSE)</f>
        <v>0.10600651880436751</v>
      </c>
      <c r="Z262" s="11">
        <f>VLOOKUP(B262,calculo!$C$5:$E$29,3,FALSE)</f>
        <v>0.10300308285239956</v>
      </c>
      <c r="AA262" s="12">
        <f t="shared" si="14"/>
        <v>42.032332563510394</v>
      </c>
    </row>
    <row r="263" spans="1:27">
      <c r="A263">
        <v>2015</v>
      </c>
      <c r="B263" s="13" t="s">
        <v>57</v>
      </c>
      <c r="C263" s="13" t="s">
        <v>28</v>
      </c>
      <c r="D263" s="12">
        <v>2.02</v>
      </c>
      <c r="E263" s="17">
        <f t="shared" si="12"/>
        <v>2020</v>
      </c>
      <c r="F263" s="12">
        <v>266.5</v>
      </c>
      <c r="G263" s="7">
        <v>40.299999999999997</v>
      </c>
      <c r="H263" s="7">
        <v>124.5</v>
      </c>
      <c r="I263" s="12">
        <v>62.6</v>
      </c>
      <c r="J263" s="13" t="s">
        <v>34</v>
      </c>
      <c r="K263" s="13" t="s">
        <v>30</v>
      </c>
      <c r="L263">
        <v>42</v>
      </c>
      <c r="M263">
        <v>12516</v>
      </c>
      <c r="N263" s="15">
        <f>O263/100</f>
        <v>0.60099999999999998</v>
      </c>
      <c r="O263" s="14">
        <v>60.1</v>
      </c>
      <c r="P263">
        <v>64.7</v>
      </c>
      <c r="Q263">
        <v>0.05</v>
      </c>
      <c r="R263">
        <v>0.4</v>
      </c>
      <c r="S263">
        <v>0</v>
      </c>
      <c r="T263" s="15">
        <f t="shared" si="13"/>
        <v>0.214</v>
      </c>
      <c r="U263">
        <v>21.4</v>
      </c>
      <c r="V263">
        <v>35</v>
      </c>
      <c r="W263" s="12">
        <v>9.1</v>
      </c>
      <c r="X263" s="6">
        <v>489</v>
      </c>
      <c r="Y263" s="11">
        <f>VLOOKUP(B263,calculo!$C$5:$D$29,2,FALSE)</f>
        <v>0.10600651880436751</v>
      </c>
      <c r="Z263" s="11">
        <f>VLOOKUP(B263,calculo!$C$5:$E$29,3,FALSE)</f>
        <v>0.10300308285239956</v>
      </c>
      <c r="AA263" s="12">
        <f t="shared" si="14"/>
        <v>50.12406947890819</v>
      </c>
    </row>
    <row r="264" spans="1:27">
      <c r="A264">
        <v>2016</v>
      </c>
      <c r="B264" s="13" t="s">
        <v>57</v>
      </c>
      <c r="C264" s="13" t="s">
        <v>28</v>
      </c>
      <c r="D264" s="12">
        <v>2.23</v>
      </c>
      <c r="E264" s="17">
        <f t="shared" si="12"/>
        <v>2230</v>
      </c>
      <c r="F264" s="12">
        <v>160.30000000000001</v>
      </c>
      <c r="G264" s="7">
        <v>36.5</v>
      </c>
      <c r="H264" s="7">
        <v>74.099999999999994</v>
      </c>
      <c r="I264" s="12">
        <v>109.4</v>
      </c>
      <c r="J264" s="13" t="s">
        <v>31</v>
      </c>
      <c r="K264" s="13" t="s">
        <v>30</v>
      </c>
      <c r="L264">
        <v>83</v>
      </c>
      <c r="M264">
        <v>21248</v>
      </c>
      <c r="N264" s="15">
        <f>O264/100</f>
        <v>0.81499999999999995</v>
      </c>
      <c r="O264" s="14">
        <v>81.5</v>
      </c>
      <c r="P264">
        <v>52.6</v>
      </c>
      <c r="Q264">
        <v>0.21</v>
      </c>
      <c r="R264">
        <v>0.46</v>
      </c>
      <c r="S264">
        <v>0</v>
      </c>
      <c r="T264" s="15">
        <f t="shared" si="13"/>
        <v>0.18100000000000002</v>
      </c>
      <c r="U264">
        <v>18.100000000000001</v>
      </c>
      <c r="V264">
        <v>38</v>
      </c>
      <c r="W264" s="12">
        <v>28.6</v>
      </c>
      <c r="X264" s="6">
        <v>37</v>
      </c>
      <c r="Y264" s="11">
        <f>VLOOKUP(B264,calculo!$C$5:$D$29,2,FALSE)</f>
        <v>0.10600651880436751</v>
      </c>
      <c r="Z264" s="11">
        <f>VLOOKUP(B264,calculo!$C$5:$E$29,3,FALSE)</f>
        <v>0.10300308285239956</v>
      </c>
      <c r="AA264" s="12">
        <f t="shared" si="14"/>
        <v>61.095890410958901</v>
      </c>
    </row>
    <row r="265" spans="1:27">
      <c r="A265">
        <v>2017</v>
      </c>
      <c r="B265" s="13" t="s">
        <v>57</v>
      </c>
      <c r="C265" s="13" t="s">
        <v>28</v>
      </c>
      <c r="D265" s="12">
        <v>2.4700000000000002</v>
      </c>
      <c r="E265" s="17">
        <f t="shared" si="12"/>
        <v>2470</v>
      </c>
      <c r="F265" s="12">
        <v>188.5</v>
      </c>
      <c r="G265" s="7">
        <v>26.1</v>
      </c>
      <c r="H265" s="7">
        <v>85.5</v>
      </c>
      <c r="I265" s="12">
        <v>128.9</v>
      </c>
      <c r="J265" s="13" t="s">
        <v>35</v>
      </c>
      <c r="K265" s="13" t="s">
        <v>30</v>
      </c>
      <c r="L265">
        <v>64</v>
      </c>
      <c r="M265">
        <v>10816</v>
      </c>
      <c r="N265" s="15">
        <f>O265/100</f>
        <v>0.9</v>
      </c>
      <c r="O265" s="14">
        <v>90</v>
      </c>
      <c r="P265">
        <v>49.4</v>
      </c>
      <c r="Q265">
        <v>0.25</v>
      </c>
      <c r="R265">
        <v>0.52</v>
      </c>
      <c r="S265">
        <v>0</v>
      </c>
      <c r="T265" s="15">
        <f t="shared" si="13"/>
        <v>0.187</v>
      </c>
      <c r="U265">
        <v>18.7</v>
      </c>
      <c r="V265">
        <v>41</v>
      </c>
      <c r="W265" s="12">
        <v>23.3</v>
      </c>
      <c r="X265" s="6">
        <v>422</v>
      </c>
      <c r="Y265" s="11">
        <f>VLOOKUP(B265,calculo!$C$5:$D$29,2,FALSE)</f>
        <v>0.10600651880436751</v>
      </c>
      <c r="Z265" s="11">
        <f>VLOOKUP(B265,calculo!$C$5:$E$29,3,FALSE)</f>
        <v>0.10300308285239956</v>
      </c>
      <c r="AA265" s="12">
        <f t="shared" si="14"/>
        <v>94.636015325670499</v>
      </c>
    </row>
    <row r="266" spans="1:27">
      <c r="A266">
        <v>2018</v>
      </c>
      <c r="B266" s="13" t="s">
        <v>57</v>
      </c>
      <c r="C266" s="13" t="s">
        <v>28</v>
      </c>
      <c r="D266" s="12">
        <v>2.73</v>
      </c>
      <c r="E266" s="17">
        <f t="shared" si="12"/>
        <v>2730</v>
      </c>
      <c r="F266" s="12">
        <v>162.19999999999999</v>
      </c>
      <c r="G266" s="7">
        <v>45.4</v>
      </c>
      <c r="H266" s="7">
        <v>141.80000000000001</v>
      </c>
      <c r="I266" s="12">
        <v>114.8</v>
      </c>
      <c r="J266" s="13" t="s">
        <v>31</v>
      </c>
      <c r="K266" s="13" t="s">
        <v>32</v>
      </c>
      <c r="L266">
        <v>42</v>
      </c>
      <c r="M266">
        <v>9450</v>
      </c>
      <c r="N266" s="15">
        <f>O266/100</f>
        <v>0.92</v>
      </c>
      <c r="O266" s="14">
        <v>92</v>
      </c>
      <c r="P266">
        <v>85.1</v>
      </c>
      <c r="Q266">
        <v>0.43</v>
      </c>
      <c r="R266">
        <v>0.57999999999999996</v>
      </c>
      <c r="S266">
        <v>0</v>
      </c>
      <c r="T266" s="15">
        <f t="shared" si="13"/>
        <v>0.21899999999999997</v>
      </c>
      <c r="U266">
        <v>21.9</v>
      </c>
      <c r="V266">
        <v>44</v>
      </c>
      <c r="W266" s="12">
        <v>15</v>
      </c>
      <c r="X266" s="6">
        <v>70</v>
      </c>
      <c r="Y266" s="11">
        <f>VLOOKUP(B266,calculo!$C$5:$D$29,2,FALSE)</f>
        <v>0.10600651880436751</v>
      </c>
      <c r="Z266" s="11">
        <f>VLOOKUP(B266,calculo!$C$5:$E$29,3,FALSE)</f>
        <v>0.10300308285239956</v>
      </c>
      <c r="AA266" s="12">
        <f t="shared" si="14"/>
        <v>60.132158590308372</v>
      </c>
    </row>
    <row r="267" spans="1:27">
      <c r="A267">
        <v>2019</v>
      </c>
      <c r="B267" s="13" t="s">
        <v>57</v>
      </c>
      <c r="C267" s="13" t="s">
        <v>28</v>
      </c>
      <c r="D267" s="12">
        <v>3.02</v>
      </c>
      <c r="E267" s="17">
        <f t="shared" si="12"/>
        <v>3020</v>
      </c>
      <c r="F267" s="12">
        <v>157.69999999999999</v>
      </c>
      <c r="G267" s="7">
        <v>22.9</v>
      </c>
      <c r="H267" s="7">
        <v>70.3</v>
      </c>
      <c r="I267" s="12">
        <v>97.9</v>
      </c>
      <c r="J267" s="13" t="s">
        <v>33</v>
      </c>
      <c r="K267" s="13" t="s">
        <v>36</v>
      </c>
      <c r="L267">
        <v>52</v>
      </c>
      <c r="M267">
        <v>15288</v>
      </c>
      <c r="N267" s="15">
        <f>O267/100</f>
        <v>0.84299999999999997</v>
      </c>
      <c r="O267" s="14">
        <v>84.3</v>
      </c>
      <c r="P267">
        <v>27.9</v>
      </c>
      <c r="Q267">
        <v>0.37</v>
      </c>
      <c r="R267">
        <v>0.64</v>
      </c>
      <c r="S267">
        <v>0</v>
      </c>
      <c r="T267" s="15">
        <f t="shared" si="13"/>
        <v>0.245</v>
      </c>
      <c r="U267">
        <v>24.5</v>
      </c>
      <c r="V267">
        <v>47</v>
      </c>
      <c r="W267" s="12">
        <v>10.8</v>
      </c>
      <c r="X267" s="6">
        <v>216</v>
      </c>
      <c r="Y267" s="11">
        <f>VLOOKUP(B267,calculo!$C$5:$D$29,2,FALSE)</f>
        <v>0.10600651880436751</v>
      </c>
      <c r="Z267" s="11">
        <f>VLOOKUP(B267,calculo!$C$5:$E$29,3,FALSE)</f>
        <v>0.10300308285239956</v>
      </c>
      <c r="AA267" s="12">
        <f t="shared" si="14"/>
        <v>131.87772925764193</v>
      </c>
    </row>
    <row r="268" spans="1:27">
      <c r="A268">
        <v>2020</v>
      </c>
      <c r="B268" s="13" t="s">
        <v>57</v>
      </c>
      <c r="C268" s="13" t="s">
        <v>28</v>
      </c>
      <c r="D268" s="12">
        <v>3.34</v>
      </c>
      <c r="E268" s="17">
        <f t="shared" si="12"/>
        <v>3340</v>
      </c>
      <c r="F268" s="12">
        <v>297.3</v>
      </c>
      <c r="G268" s="7">
        <v>6</v>
      </c>
      <c r="H268" s="7">
        <v>16.7</v>
      </c>
      <c r="I268" s="12">
        <v>118</v>
      </c>
      <c r="J268" s="13" t="s">
        <v>35</v>
      </c>
      <c r="K268" s="13" t="s">
        <v>32</v>
      </c>
      <c r="L268">
        <v>70</v>
      </c>
      <c r="M268">
        <v>8610</v>
      </c>
      <c r="N268" s="15">
        <f>O268/100</f>
        <v>0.8909999999999999</v>
      </c>
      <c r="O268" s="14">
        <v>89.1</v>
      </c>
      <c r="P268">
        <v>53.4</v>
      </c>
      <c r="Q268">
        <v>0.41</v>
      </c>
      <c r="R268">
        <v>1.1000000000000001</v>
      </c>
      <c r="S268">
        <v>0.4</v>
      </c>
      <c r="T268" s="15">
        <f t="shared" si="13"/>
        <v>0.23600000000000002</v>
      </c>
      <c r="U268">
        <v>23.6</v>
      </c>
      <c r="V268">
        <v>50</v>
      </c>
      <c r="W268" s="12">
        <v>12.9</v>
      </c>
      <c r="X268" s="6">
        <v>491</v>
      </c>
      <c r="Y268" s="11">
        <f>VLOOKUP(B268,calculo!$C$5:$D$29,2,FALSE)</f>
        <v>0.10600651880436751</v>
      </c>
      <c r="Z268" s="11">
        <f>VLOOKUP(B268,calculo!$C$5:$E$29,3,FALSE)</f>
        <v>0.10300308285239956</v>
      </c>
      <c r="AA268" s="12">
        <f t="shared" si="14"/>
        <v>556.66666666666663</v>
      </c>
    </row>
    <row r="269" spans="1:27">
      <c r="A269">
        <v>2021</v>
      </c>
      <c r="B269" s="13" t="s">
        <v>57</v>
      </c>
      <c r="C269" s="13" t="s">
        <v>28</v>
      </c>
      <c r="D269" s="12">
        <v>3.69</v>
      </c>
      <c r="E269" s="17">
        <f t="shared" si="12"/>
        <v>3690</v>
      </c>
      <c r="F269" s="12">
        <v>552.4</v>
      </c>
      <c r="G269" s="7">
        <v>58.9</v>
      </c>
      <c r="H269" s="7">
        <v>164.9</v>
      </c>
      <c r="I269" s="12">
        <v>126.5</v>
      </c>
      <c r="J269" s="13" t="s">
        <v>34</v>
      </c>
      <c r="K269" s="13" t="s">
        <v>32</v>
      </c>
      <c r="L269">
        <v>88</v>
      </c>
      <c r="M269">
        <v>18920</v>
      </c>
      <c r="N269" s="15">
        <f>O269/100</f>
        <v>0.875</v>
      </c>
      <c r="O269" s="14">
        <v>87.5</v>
      </c>
      <c r="P269">
        <v>52.2</v>
      </c>
      <c r="Q269">
        <v>0.51</v>
      </c>
      <c r="R269">
        <v>1.1000000000000001</v>
      </c>
      <c r="S269">
        <v>0.34</v>
      </c>
      <c r="T269" s="15">
        <f t="shared" si="13"/>
        <v>0.28600000000000003</v>
      </c>
      <c r="U269">
        <v>28.6</v>
      </c>
      <c r="V269">
        <v>53</v>
      </c>
      <c r="W269" s="12">
        <v>26.2</v>
      </c>
      <c r="X269" s="6">
        <v>191</v>
      </c>
      <c r="Y269" s="11">
        <f>VLOOKUP(B269,calculo!$C$5:$D$29,2,FALSE)</f>
        <v>0.10600651880436751</v>
      </c>
      <c r="Z269" s="11">
        <f>VLOOKUP(B269,calculo!$C$5:$E$29,3,FALSE)</f>
        <v>0.10300308285239956</v>
      </c>
      <c r="AA269" s="12">
        <f t="shared" si="14"/>
        <v>62.648556876061122</v>
      </c>
    </row>
    <row r="270" spans="1:27">
      <c r="A270">
        <v>2022</v>
      </c>
      <c r="B270" s="13" t="s">
        <v>57</v>
      </c>
      <c r="C270" s="13" t="s">
        <v>28</v>
      </c>
      <c r="D270" s="12">
        <v>4.09</v>
      </c>
      <c r="E270" s="17">
        <f t="shared" si="12"/>
        <v>4090</v>
      </c>
      <c r="F270" s="12">
        <v>272.60000000000002</v>
      </c>
      <c r="G270" s="7">
        <v>31</v>
      </c>
      <c r="H270" s="7">
        <v>89.4</v>
      </c>
      <c r="I270" s="12">
        <v>113.7</v>
      </c>
      <c r="J270" s="13" t="s">
        <v>34</v>
      </c>
      <c r="K270" s="13" t="s">
        <v>36</v>
      </c>
      <c r="L270">
        <v>109</v>
      </c>
      <c r="M270">
        <v>25179</v>
      </c>
      <c r="N270" s="15">
        <f>O270/100</f>
        <v>0.78599999999999992</v>
      </c>
      <c r="O270" s="14">
        <v>78.599999999999994</v>
      </c>
      <c r="P270">
        <v>69.900000000000006</v>
      </c>
      <c r="Q270">
        <v>0.69</v>
      </c>
      <c r="R270">
        <v>0.82</v>
      </c>
      <c r="S270">
        <v>0</v>
      </c>
      <c r="T270" s="15">
        <f t="shared" si="13"/>
        <v>0.29699999999999999</v>
      </c>
      <c r="U270">
        <v>29.7</v>
      </c>
      <c r="V270">
        <v>56</v>
      </c>
      <c r="W270" s="12">
        <v>23.9</v>
      </c>
      <c r="X270" s="6">
        <v>152</v>
      </c>
      <c r="Y270" s="11">
        <f>VLOOKUP(B270,calculo!$C$5:$D$29,2,FALSE)</f>
        <v>0.10600651880436751</v>
      </c>
      <c r="Z270" s="11">
        <f>VLOOKUP(B270,calculo!$C$5:$E$29,3,FALSE)</f>
        <v>0.10300308285239956</v>
      </c>
      <c r="AA270" s="12">
        <f t="shared" si="14"/>
        <v>131.93548387096774</v>
      </c>
    </row>
    <row r="271" spans="1:27">
      <c r="A271">
        <v>2023</v>
      </c>
      <c r="B271" s="13" t="s">
        <v>57</v>
      </c>
      <c r="C271" s="13" t="s">
        <v>28</v>
      </c>
      <c r="D271" s="12">
        <v>4.5199999999999996</v>
      </c>
      <c r="E271" s="17">
        <f t="shared" si="12"/>
        <v>4520</v>
      </c>
      <c r="F271" s="12">
        <v>654.70000000000005</v>
      </c>
      <c r="G271" s="7">
        <v>5.5</v>
      </c>
      <c r="H271" s="7">
        <v>15.8</v>
      </c>
      <c r="I271" s="12">
        <v>33</v>
      </c>
      <c r="J271" s="13" t="s">
        <v>31</v>
      </c>
      <c r="K271" s="13" t="s">
        <v>30</v>
      </c>
      <c r="L271">
        <v>63</v>
      </c>
      <c r="M271">
        <v>5796</v>
      </c>
      <c r="N271" s="15">
        <f>O271/100</f>
        <v>0.91</v>
      </c>
      <c r="O271" s="14">
        <v>91</v>
      </c>
      <c r="P271">
        <v>72.900000000000006</v>
      </c>
      <c r="Q271">
        <v>0.67</v>
      </c>
      <c r="R271">
        <v>0.88</v>
      </c>
      <c r="S271">
        <v>0</v>
      </c>
      <c r="T271" s="15">
        <f t="shared" si="13"/>
        <v>0.36099999999999999</v>
      </c>
      <c r="U271">
        <v>36.1</v>
      </c>
      <c r="V271">
        <v>59</v>
      </c>
      <c r="W271" s="12">
        <v>16.600000000000001</v>
      </c>
      <c r="X271" s="6">
        <v>99</v>
      </c>
      <c r="Y271" s="11">
        <f>VLOOKUP(B271,calculo!$C$5:$D$29,2,FALSE)</f>
        <v>0.10600651880436751</v>
      </c>
      <c r="Z271" s="11">
        <f>VLOOKUP(B271,calculo!$C$5:$E$29,3,FALSE)</f>
        <v>0.10300308285239956</v>
      </c>
      <c r="AA271" s="12">
        <f t="shared" si="14"/>
        <v>821.81818181818187</v>
      </c>
    </row>
    <row r="272" spans="1:27">
      <c r="A272">
        <v>2024</v>
      </c>
      <c r="B272" s="13" t="s">
        <v>57</v>
      </c>
      <c r="C272" s="13" t="s">
        <v>28</v>
      </c>
      <c r="D272" s="12">
        <v>5</v>
      </c>
      <c r="E272" s="17">
        <f t="shared" si="12"/>
        <v>5000</v>
      </c>
      <c r="F272" s="12">
        <v>536.20000000000005</v>
      </c>
      <c r="G272" s="7">
        <v>18.100000000000001</v>
      </c>
      <c r="H272" s="7">
        <v>60.4</v>
      </c>
      <c r="I272" s="12">
        <v>100</v>
      </c>
      <c r="J272" s="13" t="s">
        <v>31</v>
      </c>
      <c r="K272" s="13" t="s">
        <v>36</v>
      </c>
      <c r="L272">
        <v>76</v>
      </c>
      <c r="M272">
        <v>11932</v>
      </c>
      <c r="N272" s="15">
        <f>O272/100</f>
        <v>0.69099999999999995</v>
      </c>
      <c r="O272" s="14">
        <v>69.099999999999994</v>
      </c>
      <c r="P272">
        <v>31.3</v>
      </c>
      <c r="Q272">
        <v>0.76</v>
      </c>
      <c r="R272">
        <v>0.94</v>
      </c>
      <c r="S272">
        <v>0</v>
      </c>
      <c r="T272" s="15">
        <f t="shared" si="13"/>
        <v>0.32700000000000001</v>
      </c>
      <c r="U272">
        <v>32.700000000000003</v>
      </c>
      <c r="V272">
        <v>62</v>
      </c>
      <c r="W272" s="12">
        <v>18.100000000000001</v>
      </c>
      <c r="X272" s="6">
        <v>137</v>
      </c>
      <c r="Y272" s="11">
        <f>VLOOKUP(B272,calculo!$C$5:$D$29,2,FALSE)</f>
        <v>0.10600651880436751</v>
      </c>
      <c r="Z272" s="11">
        <f>VLOOKUP(B272,calculo!$C$5:$E$29,3,FALSE)</f>
        <v>0.10300308285239956</v>
      </c>
      <c r="AA272" s="12">
        <f t="shared" si="14"/>
        <v>276.24309392265189</v>
      </c>
    </row>
    <row r="273" spans="1:27">
      <c r="A273">
        <v>2025</v>
      </c>
      <c r="B273" s="13" t="s">
        <v>57</v>
      </c>
      <c r="C273" s="13" t="s">
        <v>28</v>
      </c>
      <c r="D273" s="12">
        <v>5.53</v>
      </c>
      <c r="E273" s="17">
        <f t="shared" si="12"/>
        <v>5530</v>
      </c>
      <c r="F273" s="12">
        <v>658.4</v>
      </c>
      <c r="G273" s="7">
        <v>36.6</v>
      </c>
      <c r="H273" s="7">
        <v>91.6</v>
      </c>
      <c r="I273" s="12">
        <v>147.1</v>
      </c>
      <c r="J273" s="13" t="s">
        <v>35</v>
      </c>
      <c r="K273" s="13" t="s">
        <v>32</v>
      </c>
      <c r="L273">
        <v>60</v>
      </c>
      <c r="M273">
        <v>13500</v>
      </c>
      <c r="N273" s="15">
        <f>O273/100</f>
        <v>0.59</v>
      </c>
      <c r="O273" s="14">
        <v>59</v>
      </c>
      <c r="P273">
        <v>41.2</v>
      </c>
      <c r="Q273">
        <v>0.83</v>
      </c>
      <c r="R273">
        <v>1</v>
      </c>
      <c r="S273">
        <v>0</v>
      </c>
      <c r="T273" s="15">
        <f t="shared" si="13"/>
        <v>0.36299999999999999</v>
      </c>
      <c r="U273">
        <v>36.299999999999997</v>
      </c>
      <c r="V273">
        <v>65</v>
      </c>
      <c r="W273" s="12">
        <v>14.6</v>
      </c>
      <c r="X273" s="6">
        <v>474</v>
      </c>
      <c r="Y273" s="11">
        <f>VLOOKUP(B273,calculo!$C$5:$D$29,2,FALSE)</f>
        <v>0.10600651880436751</v>
      </c>
      <c r="Z273" s="11">
        <f>VLOOKUP(B273,calculo!$C$5:$E$29,3,FALSE)</f>
        <v>0.10300308285239956</v>
      </c>
      <c r="AA273" s="12">
        <f t="shared" si="14"/>
        <v>151.09289617486337</v>
      </c>
    </row>
    <row r="274" spans="1:27">
      <c r="A274">
        <v>2010</v>
      </c>
      <c r="B274" s="13" t="s">
        <v>58</v>
      </c>
      <c r="C274" s="13" t="s">
        <v>42</v>
      </c>
      <c r="D274" s="12">
        <v>9.7200000000000006</v>
      </c>
      <c r="E274" s="17">
        <f t="shared" si="12"/>
        <v>9720</v>
      </c>
      <c r="F274" s="12">
        <v>546.5</v>
      </c>
      <c r="G274" s="7">
        <v>21.4</v>
      </c>
      <c r="H274" s="7">
        <v>35</v>
      </c>
      <c r="I274" s="12">
        <v>147</v>
      </c>
      <c r="J274" s="13" t="s">
        <v>29</v>
      </c>
      <c r="K274" s="13" t="s">
        <v>32</v>
      </c>
      <c r="L274">
        <v>53</v>
      </c>
      <c r="M274">
        <v>3498</v>
      </c>
      <c r="N274" s="15">
        <f>O274/100</f>
        <v>0.748</v>
      </c>
      <c r="O274" s="14">
        <v>74.8</v>
      </c>
      <c r="P274">
        <v>84.2</v>
      </c>
      <c r="Q274">
        <v>0.16</v>
      </c>
      <c r="R274">
        <v>0.1</v>
      </c>
      <c r="S274">
        <v>0</v>
      </c>
      <c r="T274" s="15">
        <f t="shared" si="13"/>
        <v>9.8000000000000004E-2</v>
      </c>
      <c r="U274">
        <v>9.8000000000000007</v>
      </c>
      <c r="V274">
        <v>20</v>
      </c>
      <c r="W274" s="12">
        <v>19.2</v>
      </c>
      <c r="X274" s="6">
        <v>80</v>
      </c>
      <c r="Y274" s="11">
        <f>VLOOKUP(B274,calculo!$C$5:$D$29,2,FALSE)</f>
        <v>0.24464845522603795</v>
      </c>
      <c r="Z274" s="11">
        <f>VLOOKUP(B274,calculo!$C$5:$E$29,3,FALSE)</f>
        <v>0.30572094147558548</v>
      </c>
      <c r="AA274" s="12">
        <f t="shared" si="14"/>
        <v>454.20560747663552</v>
      </c>
    </row>
    <row r="275" spans="1:27">
      <c r="A275">
        <v>2011</v>
      </c>
      <c r="B275" s="13" t="s">
        <v>58</v>
      </c>
      <c r="C275" s="13" t="s">
        <v>42</v>
      </c>
      <c r="D275" s="12">
        <v>12.09</v>
      </c>
      <c r="E275" s="17">
        <f t="shared" si="12"/>
        <v>12090</v>
      </c>
      <c r="F275" s="12">
        <v>1172.0999999999999</v>
      </c>
      <c r="G275" s="7">
        <v>17.600000000000001</v>
      </c>
      <c r="H275" s="7">
        <v>29.9</v>
      </c>
      <c r="I275" s="12">
        <v>50.1</v>
      </c>
      <c r="J275" s="13" t="s">
        <v>35</v>
      </c>
      <c r="K275" s="13" t="s">
        <v>32</v>
      </c>
      <c r="L275">
        <v>105</v>
      </c>
      <c r="M275">
        <v>13965</v>
      </c>
      <c r="N275" s="15">
        <f>O275/100</f>
        <v>0.8590000000000001</v>
      </c>
      <c r="O275" s="14">
        <v>85.9</v>
      </c>
      <c r="P275">
        <v>49.5</v>
      </c>
      <c r="Q275">
        <v>7.0000000000000007E-2</v>
      </c>
      <c r="R275">
        <v>0.16</v>
      </c>
      <c r="S275">
        <v>0</v>
      </c>
      <c r="T275" s="15">
        <f t="shared" si="13"/>
        <v>0.10300000000000001</v>
      </c>
      <c r="U275">
        <v>10.3</v>
      </c>
      <c r="V275">
        <v>23</v>
      </c>
      <c r="W275" s="12">
        <v>41.3</v>
      </c>
      <c r="X275" s="6">
        <v>401</v>
      </c>
      <c r="Y275" s="11">
        <f>VLOOKUP(B275,calculo!$C$5:$D$29,2,FALSE)</f>
        <v>0.24464845522603795</v>
      </c>
      <c r="Z275" s="11">
        <f>VLOOKUP(B275,calculo!$C$5:$E$29,3,FALSE)</f>
        <v>0.30572094147558548</v>
      </c>
      <c r="AA275" s="12">
        <f t="shared" si="14"/>
        <v>686.93181818181813</v>
      </c>
    </row>
    <row r="276" spans="1:27">
      <c r="A276">
        <v>2012</v>
      </c>
      <c r="B276" s="13" t="s">
        <v>58</v>
      </c>
      <c r="C276" s="13" t="s">
        <v>42</v>
      </c>
      <c r="D276" s="12">
        <v>15.05</v>
      </c>
      <c r="E276" s="17">
        <f t="shared" si="12"/>
        <v>15050</v>
      </c>
      <c r="F276" s="12">
        <v>1285.0999999999999</v>
      </c>
      <c r="G276" s="7">
        <v>19.5</v>
      </c>
      <c r="H276" s="7">
        <v>67.400000000000006</v>
      </c>
      <c r="I276" s="12">
        <v>50.4</v>
      </c>
      <c r="J276" s="13" t="s">
        <v>33</v>
      </c>
      <c r="K276" s="13" t="s">
        <v>32</v>
      </c>
      <c r="L276">
        <v>8</v>
      </c>
      <c r="M276">
        <v>2176</v>
      </c>
      <c r="N276" s="15">
        <f>O276/100</f>
        <v>0.63600000000000001</v>
      </c>
      <c r="O276" s="14">
        <v>63.6</v>
      </c>
      <c r="P276">
        <v>67.3</v>
      </c>
      <c r="Q276">
        <v>0.08</v>
      </c>
      <c r="R276">
        <v>0.22</v>
      </c>
      <c r="S276">
        <v>0</v>
      </c>
      <c r="T276" s="15">
        <f t="shared" si="13"/>
        <v>0.155</v>
      </c>
      <c r="U276">
        <v>15.5</v>
      </c>
      <c r="V276">
        <v>26</v>
      </c>
      <c r="W276" s="12">
        <v>2.8</v>
      </c>
      <c r="X276" s="6">
        <v>105</v>
      </c>
      <c r="Y276" s="11">
        <f>VLOOKUP(B276,calculo!$C$5:$D$29,2,FALSE)</f>
        <v>0.24464845522603795</v>
      </c>
      <c r="Z276" s="11">
        <f>VLOOKUP(B276,calculo!$C$5:$E$29,3,FALSE)</f>
        <v>0.30572094147558548</v>
      </c>
      <c r="AA276" s="12">
        <f t="shared" si="14"/>
        <v>771.79487179487182</v>
      </c>
    </row>
    <row r="277" spans="1:27">
      <c r="A277">
        <v>2013</v>
      </c>
      <c r="B277" s="13" t="s">
        <v>58</v>
      </c>
      <c r="C277" s="13" t="s">
        <v>42</v>
      </c>
      <c r="D277" s="12">
        <v>18.739999999999998</v>
      </c>
      <c r="E277" s="17">
        <f t="shared" si="12"/>
        <v>18740</v>
      </c>
      <c r="F277" s="12">
        <v>2399.3000000000002</v>
      </c>
      <c r="G277" s="7">
        <v>19.600000000000001</v>
      </c>
      <c r="H277" s="7">
        <v>41.6</v>
      </c>
      <c r="I277" s="12">
        <v>30.4</v>
      </c>
      <c r="J277" s="13" t="s">
        <v>35</v>
      </c>
      <c r="K277" s="13" t="s">
        <v>32</v>
      </c>
      <c r="L277">
        <v>64</v>
      </c>
      <c r="M277">
        <v>15296</v>
      </c>
      <c r="N277" s="15">
        <f>O277/100</f>
        <v>0.94299999999999995</v>
      </c>
      <c r="O277" s="14">
        <v>94.3</v>
      </c>
      <c r="P277">
        <v>54.7</v>
      </c>
      <c r="Q277">
        <v>0.1</v>
      </c>
      <c r="R277">
        <v>0.28000000000000003</v>
      </c>
      <c r="S277">
        <v>0</v>
      </c>
      <c r="T277" s="15">
        <f t="shared" si="13"/>
        <v>0.126</v>
      </c>
      <c r="U277">
        <v>12.6</v>
      </c>
      <c r="V277">
        <v>29</v>
      </c>
      <c r="W277" s="12">
        <v>23.6</v>
      </c>
      <c r="X277" s="6">
        <v>448</v>
      </c>
      <c r="Y277" s="11">
        <f>VLOOKUP(B277,calculo!$C$5:$D$29,2,FALSE)</f>
        <v>0.24464845522603795</v>
      </c>
      <c r="Z277" s="11">
        <f>VLOOKUP(B277,calculo!$C$5:$E$29,3,FALSE)</f>
        <v>0.30572094147558548</v>
      </c>
      <c r="AA277" s="12">
        <f t="shared" si="14"/>
        <v>956.12244897959181</v>
      </c>
    </row>
    <row r="278" spans="1:27">
      <c r="A278">
        <v>2014</v>
      </c>
      <c r="B278" s="13" t="s">
        <v>58</v>
      </c>
      <c r="C278" s="13" t="s">
        <v>42</v>
      </c>
      <c r="D278" s="12">
        <v>23.32</v>
      </c>
      <c r="E278" s="17">
        <f t="shared" si="12"/>
        <v>23320</v>
      </c>
      <c r="F278" s="12">
        <v>2235.1999999999998</v>
      </c>
      <c r="G278" s="7">
        <v>44.1</v>
      </c>
      <c r="H278" s="7">
        <v>116.7</v>
      </c>
      <c r="I278" s="12">
        <v>110.1</v>
      </c>
      <c r="J278" s="13" t="s">
        <v>29</v>
      </c>
      <c r="K278" s="13" t="s">
        <v>36</v>
      </c>
      <c r="L278">
        <v>44</v>
      </c>
      <c r="M278">
        <v>8536</v>
      </c>
      <c r="N278" s="15">
        <f>O278/100</f>
        <v>0.84400000000000008</v>
      </c>
      <c r="O278" s="14">
        <v>84.4</v>
      </c>
      <c r="P278">
        <v>95.5</v>
      </c>
      <c r="Q278">
        <v>0.09</v>
      </c>
      <c r="R278">
        <v>0.34</v>
      </c>
      <c r="S278">
        <v>0</v>
      </c>
      <c r="T278" s="15">
        <f t="shared" si="13"/>
        <v>0.154</v>
      </c>
      <c r="U278">
        <v>15.4</v>
      </c>
      <c r="V278">
        <v>32</v>
      </c>
      <c r="W278" s="12">
        <v>16.100000000000001</v>
      </c>
      <c r="X278" s="6">
        <v>227</v>
      </c>
      <c r="Y278" s="11">
        <f>VLOOKUP(B278,calculo!$C$5:$D$29,2,FALSE)</f>
        <v>0.24464845522603795</v>
      </c>
      <c r="Z278" s="11">
        <f>VLOOKUP(B278,calculo!$C$5:$E$29,3,FALSE)</f>
        <v>0.30572094147558548</v>
      </c>
      <c r="AA278" s="12">
        <f t="shared" si="14"/>
        <v>528.79818594104302</v>
      </c>
    </row>
    <row r="279" spans="1:27">
      <c r="A279">
        <v>2015</v>
      </c>
      <c r="B279" s="13" t="s">
        <v>58</v>
      </c>
      <c r="C279" s="13" t="s">
        <v>42</v>
      </c>
      <c r="D279" s="12">
        <v>29.03</v>
      </c>
      <c r="E279" s="17">
        <f t="shared" si="12"/>
        <v>29030</v>
      </c>
      <c r="F279" s="12">
        <v>3604.2</v>
      </c>
      <c r="G279" s="7">
        <v>30.6</v>
      </c>
      <c r="H279" s="7">
        <v>75.400000000000006</v>
      </c>
      <c r="I279" s="12">
        <v>130.6</v>
      </c>
      <c r="J279" s="13" t="s">
        <v>33</v>
      </c>
      <c r="K279" s="13" t="s">
        <v>32</v>
      </c>
      <c r="L279">
        <v>75</v>
      </c>
      <c r="M279">
        <v>22350</v>
      </c>
      <c r="N279" s="15">
        <f>O279/100</f>
        <v>0.81400000000000006</v>
      </c>
      <c r="O279" s="14">
        <v>81.400000000000006</v>
      </c>
      <c r="P279">
        <v>56.2</v>
      </c>
      <c r="Q279">
        <v>0.1</v>
      </c>
      <c r="R279">
        <v>0.4</v>
      </c>
      <c r="S279">
        <v>0</v>
      </c>
      <c r="T279" s="15">
        <f t="shared" si="13"/>
        <v>0.155</v>
      </c>
      <c r="U279">
        <v>15.5</v>
      </c>
      <c r="V279">
        <v>35</v>
      </c>
      <c r="W279" s="12">
        <v>27.4</v>
      </c>
      <c r="X279" s="6">
        <v>233</v>
      </c>
      <c r="Y279" s="11">
        <f>VLOOKUP(B279,calculo!$C$5:$D$29,2,FALSE)</f>
        <v>0.24464845522603795</v>
      </c>
      <c r="Z279" s="11">
        <f>VLOOKUP(B279,calculo!$C$5:$E$29,3,FALSE)</f>
        <v>0.30572094147558548</v>
      </c>
      <c r="AA279" s="12">
        <f t="shared" si="14"/>
        <v>948.69281045751632</v>
      </c>
    </row>
    <row r="280" spans="1:27">
      <c r="A280">
        <v>2016</v>
      </c>
      <c r="B280" s="13" t="s">
        <v>58</v>
      </c>
      <c r="C280" s="13" t="s">
        <v>42</v>
      </c>
      <c r="D280" s="12">
        <v>36.130000000000003</v>
      </c>
      <c r="E280" s="17">
        <f t="shared" si="12"/>
        <v>36130</v>
      </c>
      <c r="F280" s="12">
        <v>5244</v>
      </c>
      <c r="G280" s="7">
        <v>12.2</v>
      </c>
      <c r="H280" s="7">
        <v>32.1</v>
      </c>
      <c r="I280" s="12">
        <v>99.5</v>
      </c>
      <c r="J280" s="13" t="s">
        <v>31</v>
      </c>
      <c r="K280" s="13" t="s">
        <v>32</v>
      </c>
      <c r="L280">
        <v>94</v>
      </c>
      <c r="M280">
        <v>5922</v>
      </c>
      <c r="N280" s="15">
        <f>O280/100</f>
        <v>0.92</v>
      </c>
      <c r="O280" s="14">
        <v>92</v>
      </c>
      <c r="P280">
        <v>80.599999999999994</v>
      </c>
      <c r="Q280">
        <v>0.17</v>
      </c>
      <c r="R280">
        <v>0.46</v>
      </c>
      <c r="S280">
        <v>0</v>
      </c>
      <c r="T280" s="15">
        <f t="shared" si="13"/>
        <v>0.19399999999999998</v>
      </c>
      <c r="U280">
        <v>19.399999999999999</v>
      </c>
      <c r="V280">
        <v>38</v>
      </c>
      <c r="W280" s="12">
        <v>29.3</v>
      </c>
      <c r="X280" s="6">
        <v>196</v>
      </c>
      <c r="Y280" s="11">
        <f>VLOOKUP(B280,calculo!$C$5:$D$29,2,FALSE)</f>
        <v>0.24464845522603795</v>
      </c>
      <c r="Z280" s="11">
        <f>VLOOKUP(B280,calculo!$C$5:$E$29,3,FALSE)</f>
        <v>0.30572094147558548</v>
      </c>
      <c r="AA280" s="12">
        <f t="shared" si="14"/>
        <v>2961.4754098360659</v>
      </c>
    </row>
    <row r="281" spans="1:27">
      <c r="A281">
        <v>2017</v>
      </c>
      <c r="B281" s="13" t="s">
        <v>58</v>
      </c>
      <c r="C281" s="13" t="s">
        <v>42</v>
      </c>
      <c r="D281" s="12">
        <v>44.97</v>
      </c>
      <c r="E281" s="17">
        <f t="shared" si="12"/>
        <v>44970</v>
      </c>
      <c r="F281" s="12">
        <v>3081.6</v>
      </c>
      <c r="G281" s="7">
        <v>18.2</v>
      </c>
      <c r="H281" s="7">
        <v>35.200000000000003</v>
      </c>
      <c r="I281" s="12">
        <v>51.9</v>
      </c>
      <c r="J281" s="13" t="s">
        <v>29</v>
      </c>
      <c r="K281" s="13" t="s">
        <v>30</v>
      </c>
      <c r="L281">
        <v>102</v>
      </c>
      <c r="M281">
        <v>26214</v>
      </c>
      <c r="N281" s="15">
        <f>O281/100</f>
        <v>0.93599999999999994</v>
      </c>
      <c r="O281" s="14">
        <v>93.6</v>
      </c>
      <c r="P281">
        <v>67.8</v>
      </c>
      <c r="Q281">
        <v>0.27</v>
      </c>
      <c r="R281">
        <v>0.52</v>
      </c>
      <c r="S281">
        <v>0</v>
      </c>
      <c r="T281" s="15">
        <f t="shared" si="13"/>
        <v>0.19500000000000001</v>
      </c>
      <c r="U281">
        <v>19.5</v>
      </c>
      <c r="V281">
        <v>41</v>
      </c>
      <c r="W281" s="12">
        <v>22.6</v>
      </c>
      <c r="X281" s="6">
        <v>194</v>
      </c>
      <c r="Y281" s="11">
        <f>VLOOKUP(B281,calculo!$C$5:$D$29,2,FALSE)</f>
        <v>0.24464845522603795</v>
      </c>
      <c r="Z281" s="11">
        <f>VLOOKUP(B281,calculo!$C$5:$E$29,3,FALSE)</f>
        <v>0.30572094147558548</v>
      </c>
      <c r="AA281" s="12">
        <f t="shared" si="14"/>
        <v>2470.8791208791208</v>
      </c>
    </row>
    <row r="282" spans="1:27">
      <c r="A282">
        <v>2018</v>
      </c>
      <c r="B282" s="13" t="s">
        <v>58</v>
      </c>
      <c r="C282" s="13" t="s">
        <v>42</v>
      </c>
      <c r="D282" s="12">
        <v>55.97</v>
      </c>
      <c r="E282" s="17">
        <f t="shared" si="12"/>
        <v>55970</v>
      </c>
      <c r="F282" s="12">
        <v>8053.9</v>
      </c>
      <c r="G282" s="7">
        <v>53.9</v>
      </c>
      <c r="H282" s="7">
        <v>117.1</v>
      </c>
      <c r="I282" s="12">
        <v>117.5</v>
      </c>
      <c r="J282" s="13" t="s">
        <v>35</v>
      </c>
      <c r="K282" s="13" t="s">
        <v>32</v>
      </c>
      <c r="L282">
        <v>97</v>
      </c>
      <c r="M282">
        <v>11446</v>
      </c>
      <c r="N282" s="15">
        <f>O282/100</f>
        <v>0.59899999999999998</v>
      </c>
      <c r="O282" s="14">
        <v>59.9</v>
      </c>
      <c r="P282">
        <v>41.4</v>
      </c>
      <c r="Q282">
        <v>0.31</v>
      </c>
      <c r="R282">
        <v>0.57999999999999996</v>
      </c>
      <c r="S282">
        <v>0</v>
      </c>
      <c r="T282" s="15">
        <f t="shared" si="13"/>
        <v>0.249</v>
      </c>
      <c r="U282">
        <v>24.9</v>
      </c>
      <c r="V282">
        <v>44</v>
      </c>
      <c r="W282" s="12">
        <v>18.8</v>
      </c>
      <c r="X282" s="6">
        <v>259</v>
      </c>
      <c r="Y282" s="11">
        <f>VLOOKUP(B282,calculo!$C$5:$D$29,2,FALSE)</f>
        <v>0.24464845522603795</v>
      </c>
      <c r="Z282" s="11">
        <f>VLOOKUP(B282,calculo!$C$5:$E$29,3,FALSE)</f>
        <v>0.30572094147558548</v>
      </c>
      <c r="AA282" s="12">
        <f t="shared" si="14"/>
        <v>1038.4044526901671</v>
      </c>
    </row>
    <row r="283" spans="1:27">
      <c r="A283">
        <v>2019</v>
      </c>
      <c r="B283" s="13" t="s">
        <v>58</v>
      </c>
      <c r="C283" s="13" t="s">
        <v>42</v>
      </c>
      <c r="D283" s="12">
        <v>69.67</v>
      </c>
      <c r="E283" s="17">
        <f t="shared" si="12"/>
        <v>69670</v>
      </c>
      <c r="F283" s="12">
        <v>8720.2000000000007</v>
      </c>
      <c r="G283" s="7">
        <v>38.200000000000003</v>
      </c>
      <c r="H283" s="7">
        <v>103.1</v>
      </c>
      <c r="I283" s="12">
        <v>36.4</v>
      </c>
      <c r="J283" s="13" t="s">
        <v>35</v>
      </c>
      <c r="K283" s="13" t="s">
        <v>36</v>
      </c>
      <c r="L283">
        <v>81</v>
      </c>
      <c r="M283">
        <v>10530</v>
      </c>
      <c r="N283" s="15">
        <f>O283/100</f>
        <v>0.65799999999999992</v>
      </c>
      <c r="O283" s="14">
        <v>65.8</v>
      </c>
      <c r="P283">
        <v>32</v>
      </c>
      <c r="Q283">
        <v>0.55000000000000004</v>
      </c>
      <c r="R283">
        <v>0.64</v>
      </c>
      <c r="S283">
        <v>0</v>
      </c>
      <c r="T283" s="15">
        <f t="shared" si="13"/>
        <v>0.26200000000000001</v>
      </c>
      <c r="U283">
        <v>26.2</v>
      </c>
      <c r="V283">
        <v>47</v>
      </c>
      <c r="W283" s="12">
        <v>15.2</v>
      </c>
      <c r="X283" s="6">
        <v>67</v>
      </c>
      <c r="Y283" s="11">
        <f>VLOOKUP(B283,calculo!$C$5:$D$29,2,FALSE)</f>
        <v>0.24464845522603795</v>
      </c>
      <c r="Z283" s="11">
        <f>VLOOKUP(B283,calculo!$C$5:$E$29,3,FALSE)</f>
        <v>0.30572094147558548</v>
      </c>
      <c r="AA283" s="12">
        <f t="shared" si="14"/>
        <v>1823.8219895287957</v>
      </c>
    </row>
    <row r="284" spans="1:27">
      <c r="A284">
        <v>2020</v>
      </c>
      <c r="B284" s="13" t="s">
        <v>58</v>
      </c>
      <c r="C284" s="13" t="s">
        <v>42</v>
      </c>
      <c r="D284" s="12">
        <v>86.71</v>
      </c>
      <c r="E284" s="17">
        <f t="shared" si="12"/>
        <v>86710</v>
      </c>
      <c r="F284" s="12">
        <v>11149.8</v>
      </c>
      <c r="G284" s="7">
        <v>36.200000000000003</v>
      </c>
      <c r="H284" s="7">
        <v>54.8</v>
      </c>
      <c r="I284" s="12">
        <v>122.7</v>
      </c>
      <c r="J284" s="13" t="s">
        <v>33</v>
      </c>
      <c r="K284" s="13" t="s">
        <v>32</v>
      </c>
      <c r="L284">
        <v>65</v>
      </c>
      <c r="M284">
        <v>4225</v>
      </c>
      <c r="N284" s="15">
        <f>O284/100</f>
        <v>0.76900000000000002</v>
      </c>
      <c r="O284" s="14">
        <v>76.900000000000006</v>
      </c>
      <c r="P284">
        <v>100</v>
      </c>
      <c r="Q284">
        <v>0.54</v>
      </c>
      <c r="R284">
        <v>0.99</v>
      </c>
      <c r="S284">
        <v>0.28999999999999998</v>
      </c>
      <c r="T284" s="15">
        <f t="shared" si="13"/>
        <v>0.27</v>
      </c>
      <c r="U284">
        <v>27</v>
      </c>
      <c r="V284">
        <v>50</v>
      </c>
      <c r="W284" s="12">
        <v>19.7</v>
      </c>
      <c r="X284" s="6">
        <v>105</v>
      </c>
      <c r="Y284" s="11">
        <f>VLOOKUP(B284,calculo!$C$5:$D$29,2,FALSE)</f>
        <v>0.24464845522603795</v>
      </c>
      <c r="Z284" s="11">
        <f>VLOOKUP(B284,calculo!$C$5:$E$29,3,FALSE)</f>
        <v>0.30572094147558548</v>
      </c>
      <c r="AA284" s="12">
        <f t="shared" si="14"/>
        <v>2395.3038674033146</v>
      </c>
    </row>
    <row r="285" spans="1:27">
      <c r="A285">
        <v>2021</v>
      </c>
      <c r="B285" s="13" t="s">
        <v>58</v>
      </c>
      <c r="C285" s="13" t="s">
        <v>42</v>
      </c>
      <c r="D285" s="12">
        <v>107.93</v>
      </c>
      <c r="E285" s="17">
        <f t="shared" si="12"/>
        <v>107930</v>
      </c>
      <c r="F285" s="12">
        <v>12675.4</v>
      </c>
      <c r="G285" s="7">
        <v>46.2</v>
      </c>
      <c r="H285" s="7">
        <v>73.599999999999994</v>
      </c>
      <c r="I285" s="12">
        <v>107.6</v>
      </c>
      <c r="J285" s="13" t="s">
        <v>31</v>
      </c>
      <c r="K285" s="13" t="s">
        <v>30</v>
      </c>
      <c r="L285">
        <v>87</v>
      </c>
      <c r="M285">
        <v>14355</v>
      </c>
      <c r="N285" s="15">
        <f>O285/100</f>
        <v>0.84799999999999998</v>
      </c>
      <c r="O285" s="14">
        <v>84.8</v>
      </c>
      <c r="P285">
        <v>34.299999999999997</v>
      </c>
      <c r="Q285">
        <v>0.56999999999999995</v>
      </c>
      <c r="R285">
        <v>1.1100000000000001</v>
      </c>
      <c r="S285">
        <v>0.35</v>
      </c>
      <c r="T285" s="15">
        <f t="shared" si="13"/>
        <v>0.32</v>
      </c>
      <c r="U285">
        <v>32</v>
      </c>
      <c r="V285">
        <v>53</v>
      </c>
      <c r="W285" s="12">
        <v>27.6</v>
      </c>
      <c r="X285" s="6">
        <v>393</v>
      </c>
      <c r="Y285" s="11">
        <f>VLOOKUP(B285,calculo!$C$5:$D$29,2,FALSE)</f>
        <v>0.24464845522603795</v>
      </c>
      <c r="Z285" s="11">
        <f>VLOOKUP(B285,calculo!$C$5:$E$29,3,FALSE)</f>
        <v>0.30572094147558548</v>
      </c>
      <c r="AA285" s="12">
        <f t="shared" si="14"/>
        <v>2336.1471861471859</v>
      </c>
    </row>
    <row r="286" spans="1:27">
      <c r="A286">
        <v>2022</v>
      </c>
      <c r="B286" s="13" t="s">
        <v>58</v>
      </c>
      <c r="C286" s="13" t="s">
        <v>42</v>
      </c>
      <c r="D286" s="12">
        <v>134.34</v>
      </c>
      <c r="E286" s="17">
        <f t="shared" si="12"/>
        <v>134340</v>
      </c>
      <c r="F286" s="12">
        <v>12603.4</v>
      </c>
      <c r="G286" s="7">
        <v>50.7</v>
      </c>
      <c r="H286" s="7">
        <v>92.3</v>
      </c>
      <c r="I286" s="12">
        <v>33</v>
      </c>
      <c r="J286" s="13" t="s">
        <v>31</v>
      </c>
      <c r="K286" s="13" t="s">
        <v>36</v>
      </c>
      <c r="L286">
        <v>102</v>
      </c>
      <c r="M286">
        <v>26214</v>
      </c>
      <c r="N286" s="15">
        <f>O286/100</f>
        <v>0.84799999999999998</v>
      </c>
      <c r="O286" s="14">
        <v>84.8</v>
      </c>
      <c r="P286">
        <v>93.6</v>
      </c>
      <c r="Q286">
        <v>0.66</v>
      </c>
      <c r="R286">
        <v>0.82</v>
      </c>
      <c r="S286">
        <v>0</v>
      </c>
      <c r="T286" s="15">
        <f t="shared" si="13"/>
        <v>0.28999999999999998</v>
      </c>
      <c r="U286">
        <v>29</v>
      </c>
      <c r="V286">
        <v>56</v>
      </c>
      <c r="W286" s="12">
        <v>21.4</v>
      </c>
      <c r="X286" s="6">
        <v>401</v>
      </c>
      <c r="Y286" s="11">
        <f>VLOOKUP(B286,calculo!$C$5:$D$29,2,FALSE)</f>
        <v>0.24464845522603795</v>
      </c>
      <c r="Z286" s="11">
        <f>VLOOKUP(B286,calculo!$C$5:$E$29,3,FALSE)</f>
        <v>0.30572094147558548</v>
      </c>
      <c r="AA286" s="12">
        <f t="shared" si="14"/>
        <v>2649.7041420118344</v>
      </c>
    </row>
    <row r="287" spans="1:27">
      <c r="A287">
        <v>2023</v>
      </c>
      <c r="B287" s="13" t="s">
        <v>58</v>
      </c>
      <c r="C287" s="13" t="s">
        <v>42</v>
      </c>
      <c r="D287" s="12">
        <v>167.21</v>
      </c>
      <c r="E287" s="17">
        <f t="shared" si="12"/>
        <v>167210</v>
      </c>
      <c r="F287" s="12">
        <v>14710.2</v>
      </c>
      <c r="G287" s="7">
        <v>48.5</v>
      </c>
      <c r="H287" s="7">
        <v>110.7</v>
      </c>
      <c r="I287" s="12">
        <v>120.1</v>
      </c>
      <c r="J287" s="13" t="s">
        <v>33</v>
      </c>
      <c r="K287" s="13" t="s">
        <v>36</v>
      </c>
      <c r="L287">
        <v>47</v>
      </c>
      <c r="M287">
        <v>6768</v>
      </c>
      <c r="N287" s="15">
        <f>O287/100</f>
        <v>0.88500000000000001</v>
      </c>
      <c r="O287" s="14">
        <v>88.5</v>
      </c>
      <c r="P287">
        <v>87.6</v>
      </c>
      <c r="Q287">
        <v>0.7</v>
      </c>
      <c r="R287">
        <v>0.88</v>
      </c>
      <c r="S287">
        <v>0</v>
      </c>
      <c r="T287" s="15">
        <f t="shared" si="13"/>
        <v>0.30599999999999999</v>
      </c>
      <c r="U287">
        <v>30.6</v>
      </c>
      <c r="V287">
        <v>59</v>
      </c>
      <c r="W287" s="12">
        <v>16.100000000000001</v>
      </c>
      <c r="X287" s="6">
        <v>65</v>
      </c>
      <c r="Y287" s="11">
        <f>VLOOKUP(B287,calculo!$C$5:$D$29,2,FALSE)</f>
        <v>0.24464845522603795</v>
      </c>
      <c r="Z287" s="11">
        <f>VLOOKUP(B287,calculo!$C$5:$E$29,3,FALSE)</f>
        <v>0.30572094147558548</v>
      </c>
      <c r="AA287" s="12">
        <f t="shared" si="14"/>
        <v>3447.6288659793813</v>
      </c>
    </row>
    <row r="288" spans="1:27">
      <c r="A288">
        <v>2024</v>
      </c>
      <c r="B288" s="13" t="s">
        <v>58</v>
      </c>
      <c r="C288" s="13" t="s">
        <v>42</v>
      </c>
      <c r="D288" s="12">
        <v>208.12</v>
      </c>
      <c r="E288" s="17">
        <f t="shared" si="12"/>
        <v>208120</v>
      </c>
      <c r="F288" s="12">
        <v>10804.7</v>
      </c>
      <c r="G288" s="7">
        <v>50</v>
      </c>
      <c r="H288" s="7">
        <v>127.4</v>
      </c>
      <c r="I288" s="12">
        <v>123</v>
      </c>
      <c r="J288" s="13" t="s">
        <v>35</v>
      </c>
      <c r="K288" s="13" t="s">
        <v>36</v>
      </c>
      <c r="L288">
        <v>103</v>
      </c>
      <c r="M288">
        <v>16892</v>
      </c>
      <c r="N288" s="15">
        <f>O288/100</f>
        <v>0.93299999999999994</v>
      </c>
      <c r="O288" s="14">
        <v>93.3</v>
      </c>
      <c r="P288">
        <v>75.099999999999994</v>
      </c>
      <c r="Q288">
        <v>0.79</v>
      </c>
      <c r="R288">
        <v>0.94</v>
      </c>
      <c r="S288">
        <v>0</v>
      </c>
      <c r="T288" s="15">
        <f t="shared" si="13"/>
        <v>0.33</v>
      </c>
      <c r="U288">
        <v>33</v>
      </c>
      <c r="V288">
        <v>62</v>
      </c>
      <c r="W288" s="12">
        <v>24.3</v>
      </c>
      <c r="X288" s="6">
        <v>348</v>
      </c>
      <c r="Y288" s="11">
        <f>VLOOKUP(B288,calculo!$C$5:$D$29,2,FALSE)</f>
        <v>0.24464845522603795</v>
      </c>
      <c r="Z288" s="11">
        <f>VLOOKUP(B288,calculo!$C$5:$E$29,3,FALSE)</f>
        <v>0.30572094147558548</v>
      </c>
      <c r="AA288" s="12">
        <f t="shared" si="14"/>
        <v>4162.3999999999996</v>
      </c>
    </row>
    <row r="289" spans="1:27">
      <c r="A289">
        <v>2025</v>
      </c>
      <c r="B289" s="13" t="s">
        <v>58</v>
      </c>
      <c r="C289" s="13" t="s">
        <v>42</v>
      </c>
      <c r="D289" s="12">
        <v>259.04000000000002</v>
      </c>
      <c r="E289" s="17">
        <f t="shared" si="12"/>
        <v>259040.00000000003</v>
      </c>
      <c r="F289" s="12">
        <v>29877.599999999999</v>
      </c>
      <c r="G289" s="7">
        <v>13.2</v>
      </c>
      <c r="H289" s="7">
        <v>27.5</v>
      </c>
      <c r="I289" s="12">
        <v>104.4</v>
      </c>
      <c r="J289" s="13" t="s">
        <v>33</v>
      </c>
      <c r="K289" s="13" t="s">
        <v>36</v>
      </c>
      <c r="L289">
        <v>41</v>
      </c>
      <c r="M289">
        <v>6724</v>
      </c>
      <c r="N289" s="15">
        <f>O289/100</f>
        <v>0.627</v>
      </c>
      <c r="O289" s="14">
        <v>62.7</v>
      </c>
      <c r="P289">
        <v>97.3</v>
      </c>
      <c r="Q289">
        <v>0.96</v>
      </c>
      <c r="R289">
        <v>1</v>
      </c>
      <c r="S289">
        <v>0</v>
      </c>
      <c r="T289" s="15">
        <f t="shared" si="13"/>
        <v>0.38400000000000001</v>
      </c>
      <c r="U289">
        <v>38.4</v>
      </c>
      <c r="V289">
        <v>65</v>
      </c>
      <c r="W289" s="12">
        <v>11.3</v>
      </c>
      <c r="X289" s="6">
        <v>317</v>
      </c>
      <c r="Y289" s="11">
        <f>VLOOKUP(B289,calculo!$C$5:$D$29,2,FALSE)</f>
        <v>0.24464845522603795</v>
      </c>
      <c r="Z289" s="11">
        <f>VLOOKUP(B289,calculo!$C$5:$E$29,3,FALSE)</f>
        <v>0.30572094147558548</v>
      </c>
      <c r="AA289" s="12">
        <f t="shared" si="14"/>
        <v>19624.242424242428</v>
      </c>
    </row>
    <row r="290" spans="1:27">
      <c r="A290">
        <v>2010</v>
      </c>
      <c r="B290" s="13" t="s">
        <v>59</v>
      </c>
      <c r="C290" s="13" t="s">
        <v>42</v>
      </c>
      <c r="D290" s="12">
        <v>10.49</v>
      </c>
      <c r="E290" s="17">
        <f t="shared" si="12"/>
        <v>10490</v>
      </c>
      <c r="F290" s="12">
        <v>1358.4</v>
      </c>
      <c r="G290" s="7">
        <v>18.100000000000001</v>
      </c>
      <c r="H290" s="7">
        <v>32.4</v>
      </c>
      <c r="I290" s="12">
        <v>67.599999999999994</v>
      </c>
      <c r="J290" s="13" t="s">
        <v>35</v>
      </c>
      <c r="K290" s="13" t="s">
        <v>32</v>
      </c>
      <c r="L290">
        <v>32</v>
      </c>
      <c r="M290">
        <v>5696</v>
      </c>
      <c r="N290" s="15">
        <f>O290/100</f>
        <v>0.94299999999999995</v>
      </c>
      <c r="O290" s="14">
        <v>94.3</v>
      </c>
      <c r="P290">
        <v>95.4</v>
      </c>
      <c r="Q290">
        <v>0.06</v>
      </c>
      <c r="R290">
        <v>0.1</v>
      </c>
      <c r="S290">
        <v>0</v>
      </c>
      <c r="T290" s="15">
        <f t="shared" si="13"/>
        <v>6.0999999999999999E-2</v>
      </c>
      <c r="U290">
        <v>6.1</v>
      </c>
      <c r="V290">
        <v>20</v>
      </c>
      <c r="W290" s="12">
        <v>5.5</v>
      </c>
      <c r="X290" s="6">
        <v>379</v>
      </c>
      <c r="Y290" s="11">
        <f>VLOOKUP(B290,calculo!$C$5:$D$29,2,FALSE)</f>
        <v>0.15863193240980733</v>
      </c>
      <c r="Z290" s="11">
        <f>VLOOKUP(B290,calculo!$C$5:$E$29,3,FALSE)</f>
        <v>0.12434390024925701</v>
      </c>
      <c r="AA290" s="12">
        <f t="shared" si="14"/>
        <v>579.55801104972375</v>
      </c>
    </row>
    <row r="291" spans="1:27">
      <c r="A291">
        <v>2011</v>
      </c>
      <c r="B291" s="13" t="s">
        <v>59</v>
      </c>
      <c r="C291" s="13" t="s">
        <v>42</v>
      </c>
      <c r="D291" s="12">
        <v>12.16</v>
      </c>
      <c r="E291" s="17">
        <f t="shared" si="12"/>
        <v>12160</v>
      </c>
      <c r="F291" s="12">
        <v>1784.9</v>
      </c>
      <c r="G291" s="7">
        <v>27.9</v>
      </c>
      <c r="H291" s="7">
        <v>69.900000000000006</v>
      </c>
      <c r="I291" s="12">
        <v>59.6</v>
      </c>
      <c r="J291" s="13" t="s">
        <v>33</v>
      </c>
      <c r="K291" s="13" t="s">
        <v>32</v>
      </c>
      <c r="L291">
        <v>110</v>
      </c>
      <c r="M291">
        <v>13420</v>
      </c>
      <c r="N291" s="15">
        <f>O291/100</f>
        <v>0.90700000000000003</v>
      </c>
      <c r="O291" s="14">
        <v>90.7</v>
      </c>
      <c r="P291">
        <v>86.3</v>
      </c>
      <c r="Q291">
        <v>0.05</v>
      </c>
      <c r="R291">
        <v>0.16</v>
      </c>
      <c r="S291">
        <v>0</v>
      </c>
      <c r="T291" s="15">
        <f t="shared" si="13"/>
        <v>0.12300000000000001</v>
      </c>
      <c r="U291">
        <v>12.3</v>
      </c>
      <c r="V291">
        <v>23</v>
      </c>
      <c r="W291" s="12">
        <v>37.200000000000003</v>
      </c>
      <c r="X291" s="6">
        <v>451</v>
      </c>
      <c r="Y291" s="11">
        <f>VLOOKUP(B291,calculo!$C$5:$D$29,2,FALSE)</f>
        <v>0.15863193240980733</v>
      </c>
      <c r="Z291" s="11">
        <f>VLOOKUP(B291,calculo!$C$5:$E$29,3,FALSE)</f>
        <v>0.12434390024925701</v>
      </c>
      <c r="AA291" s="12">
        <f t="shared" si="14"/>
        <v>435.84229390681008</v>
      </c>
    </row>
    <row r="292" spans="1:27">
      <c r="A292">
        <v>2012</v>
      </c>
      <c r="B292" s="13" t="s">
        <v>59</v>
      </c>
      <c r="C292" s="13" t="s">
        <v>42</v>
      </c>
      <c r="D292" s="12">
        <v>14.09</v>
      </c>
      <c r="E292" s="17">
        <f t="shared" si="12"/>
        <v>14090</v>
      </c>
      <c r="F292" s="12">
        <v>1055.7</v>
      </c>
      <c r="G292" s="7">
        <v>43.6</v>
      </c>
      <c r="H292" s="7">
        <v>140</v>
      </c>
      <c r="I292" s="12">
        <v>72.8</v>
      </c>
      <c r="J292" s="13" t="s">
        <v>35</v>
      </c>
      <c r="K292" s="13" t="s">
        <v>30</v>
      </c>
      <c r="L292">
        <v>16</v>
      </c>
      <c r="M292">
        <v>4224</v>
      </c>
      <c r="N292" s="15">
        <f>O292/100</f>
        <v>0.58599999999999997</v>
      </c>
      <c r="O292" s="14">
        <v>58.6</v>
      </c>
      <c r="P292">
        <v>38.799999999999997</v>
      </c>
      <c r="Q292">
        <v>0.16</v>
      </c>
      <c r="R292">
        <v>0.22</v>
      </c>
      <c r="S292">
        <v>0</v>
      </c>
      <c r="T292" s="15">
        <f t="shared" si="13"/>
        <v>0.13100000000000001</v>
      </c>
      <c r="U292">
        <v>13.1</v>
      </c>
      <c r="V292">
        <v>26</v>
      </c>
      <c r="W292" s="12">
        <v>3.6</v>
      </c>
      <c r="X292" s="6">
        <v>387</v>
      </c>
      <c r="Y292" s="11">
        <f>VLOOKUP(B292,calculo!$C$5:$D$29,2,FALSE)</f>
        <v>0.15863193240980733</v>
      </c>
      <c r="Z292" s="11">
        <f>VLOOKUP(B292,calculo!$C$5:$E$29,3,FALSE)</f>
        <v>0.12434390024925701</v>
      </c>
      <c r="AA292" s="12">
        <f t="shared" si="14"/>
        <v>323.16513761467888</v>
      </c>
    </row>
    <row r="293" spans="1:27">
      <c r="A293">
        <v>2013</v>
      </c>
      <c r="B293" s="13" t="s">
        <v>59</v>
      </c>
      <c r="C293" s="13" t="s">
        <v>42</v>
      </c>
      <c r="D293" s="12">
        <v>16.32</v>
      </c>
      <c r="E293" s="17">
        <f t="shared" si="12"/>
        <v>16320</v>
      </c>
      <c r="F293" s="12">
        <v>2158.4</v>
      </c>
      <c r="G293" s="7">
        <v>12.1</v>
      </c>
      <c r="H293" s="7">
        <v>29.8</v>
      </c>
      <c r="I293" s="12">
        <v>44</v>
      </c>
      <c r="J293" s="13" t="s">
        <v>31</v>
      </c>
      <c r="K293" s="13" t="s">
        <v>32</v>
      </c>
      <c r="L293">
        <v>19</v>
      </c>
      <c r="M293">
        <v>5681</v>
      </c>
      <c r="N293" s="15">
        <f>O293/100</f>
        <v>0.69499999999999995</v>
      </c>
      <c r="O293" s="14">
        <v>69.5</v>
      </c>
      <c r="P293">
        <v>37.299999999999997</v>
      </c>
      <c r="Q293">
        <v>0.15</v>
      </c>
      <c r="R293">
        <v>0.28000000000000003</v>
      </c>
      <c r="S293">
        <v>0</v>
      </c>
      <c r="T293" s="15">
        <f t="shared" si="13"/>
        <v>0.156</v>
      </c>
      <c r="U293">
        <v>15.6</v>
      </c>
      <c r="V293">
        <v>29</v>
      </c>
      <c r="W293" s="12">
        <v>4.3</v>
      </c>
      <c r="X293" s="6">
        <v>386</v>
      </c>
      <c r="Y293" s="11">
        <f>VLOOKUP(B293,calculo!$C$5:$D$29,2,FALSE)</f>
        <v>0.15863193240980733</v>
      </c>
      <c r="Z293" s="11">
        <f>VLOOKUP(B293,calculo!$C$5:$E$29,3,FALSE)</f>
        <v>0.12434390024925701</v>
      </c>
      <c r="AA293" s="12">
        <f t="shared" si="14"/>
        <v>1348.7603305785124</v>
      </c>
    </row>
    <row r="294" spans="1:27">
      <c r="A294">
        <v>2014</v>
      </c>
      <c r="B294" s="13" t="s">
        <v>59</v>
      </c>
      <c r="C294" s="13" t="s">
        <v>42</v>
      </c>
      <c r="D294" s="12">
        <v>18.91</v>
      </c>
      <c r="E294" s="17">
        <f t="shared" si="12"/>
        <v>18910</v>
      </c>
      <c r="F294" s="12">
        <v>1031</v>
      </c>
      <c r="G294" s="7">
        <v>14.6</v>
      </c>
      <c r="H294" s="7">
        <v>22.4</v>
      </c>
      <c r="I294" s="12">
        <v>99.8</v>
      </c>
      <c r="J294" s="13" t="s">
        <v>34</v>
      </c>
      <c r="K294" s="13" t="s">
        <v>30</v>
      </c>
      <c r="L294">
        <v>25</v>
      </c>
      <c r="M294">
        <v>6725</v>
      </c>
      <c r="N294" s="15">
        <f>O294/100</f>
        <v>0.752</v>
      </c>
      <c r="O294" s="14">
        <v>75.2</v>
      </c>
      <c r="P294">
        <v>95.7</v>
      </c>
      <c r="Q294">
        <v>0.02</v>
      </c>
      <c r="R294">
        <v>0.34</v>
      </c>
      <c r="S294">
        <v>0</v>
      </c>
      <c r="T294" s="15">
        <f t="shared" si="13"/>
        <v>0.14199999999999999</v>
      </c>
      <c r="U294">
        <v>14.2</v>
      </c>
      <c r="V294">
        <v>32</v>
      </c>
      <c r="W294" s="12">
        <v>9.1999999999999993</v>
      </c>
      <c r="X294" s="6">
        <v>209</v>
      </c>
      <c r="Y294" s="11">
        <f>VLOOKUP(B294,calculo!$C$5:$D$29,2,FALSE)</f>
        <v>0.15863193240980733</v>
      </c>
      <c r="Z294" s="11">
        <f>VLOOKUP(B294,calculo!$C$5:$E$29,3,FALSE)</f>
        <v>0.12434390024925701</v>
      </c>
      <c r="AA294" s="12">
        <f t="shared" si="14"/>
        <v>1295.2054794520548</v>
      </c>
    </row>
    <row r="295" spans="1:27">
      <c r="A295">
        <v>2015</v>
      </c>
      <c r="B295" s="13" t="s">
        <v>59</v>
      </c>
      <c r="C295" s="13" t="s">
        <v>42</v>
      </c>
      <c r="D295" s="12">
        <v>21.91</v>
      </c>
      <c r="E295" s="17">
        <f t="shared" si="12"/>
        <v>21910</v>
      </c>
      <c r="F295" s="12">
        <v>1324.2</v>
      </c>
      <c r="G295" s="7">
        <v>35.5</v>
      </c>
      <c r="H295" s="7">
        <v>86.1</v>
      </c>
      <c r="I295" s="12">
        <v>44.2</v>
      </c>
      <c r="J295" s="13" t="s">
        <v>35</v>
      </c>
      <c r="K295" s="13" t="s">
        <v>32</v>
      </c>
      <c r="L295">
        <v>113</v>
      </c>
      <c r="M295">
        <v>17063</v>
      </c>
      <c r="N295" s="15">
        <f>O295/100</f>
        <v>0.76800000000000002</v>
      </c>
      <c r="O295" s="14">
        <v>76.8</v>
      </c>
      <c r="P295">
        <v>80.400000000000006</v>
      </c>
      <c r="Q295">
        <v>0.12</v>
      </c>
      <c r="R295">
        <v>0.4</v>
      </c>
      <c r="S295">
        <v>0</v>
      </c>
      <c r="T295" s="15">
        <f t="shared" si="13"/>
        <v>0.193</v>
      </c>
      <c r="U295">
        <v>19.3</v>
      </c>
      <c r="V295">
        <v>35</v>
      </c>
      <c r="W295" s="12">
        <v>23</v>
      </c>
      <c r="X295" s="6">
        <v>197</v>
      </c>
      <c r="Y295" s="11">
        <f>VLOOKUP(B295,calculo!$C$5:$D$29,2,FALSE)</f>
        <v>0.15863193240980733</v>
      </c>
      <c r="Z295" s="11">
        <f>VLOOKUP(B295,calculo!$C$5:$E$29,3,FALSE)</f>
        <v>0.12434390024925701</v>
      </c>
      <c r="AA295" s="12">
        <f t="shared" si="14"/>
        <v>617.18309859154931</v>
      </c>
    </row>
    <row r="296" spans="1:27">
      <c r="A296">
        <v>2016</v>
      </c>
      <c r="B296" s="13" t="s">
        <v>59</v>
      </c>
      <c r="C296" s="13" t="s">
        <v>42</v>
      </c>
      <c r="D296" s="12">
        <v>25.38</v>
      </c>
      <c r="E296" s="17">
        <f t="shared" si="12"/>
        <v>25380</v>
      </c>
      <c r="F296" s="12">
        <v>1835.3</v>
      </c>
      <c r="G296" s="7">
        <v>52.6</v>
      </c>
      <c r="H296" s="7">
        <v>162.1</v>
      </c>
      <c r="I296" s="12">
        <v>119.8</v>
      </c>
      <c r="J296" s="13" t="s">
        <v>31</v>
      </c>
      <c r="K296" s="13" t="s">
        <v>30</v>
      </c>
      <c r="L296">
        <v>68</v>
      </c>
      <c r="M296">
        <v>16184</v>
      </c>
      <c r="N296" s="15">
        <f>O296/100</f>
        <v>0.85699999999999998</v>
      </c>
      <c r="O296" s="14">
        <v>85.7</v>
      </c>
      <c r="P296">
        <v>27.4</v>
      </c>
      <c r="Q296">
        <v>0.23</v>
      </c>
      <c r="R296">
        <v>0.46</v>
      </c>
      <c r="S296">
        <v>0</v>
      </c>
      <c r="T296" s="15">
        <f t="shared" si="13"/>
        <v>0.20600000000000002</v>
      </c>
      <c r="U296">
        <v>20.6</v>
      </c>
      <c r="V296">
        <v>38</v>
      </c>
      <c r="W296" s="12">
        <v>14.4</v>
      </c>
      <c r="X296" s="6">
        <v>195</v>
      </c>
      <c r="Y296" s="11">
        <f>VLOOKUP(B296,calculo!$C$5:$D$29,2,FALSE)</f>
        <v>0.15863193240980733</v>
      </c>
      <c r="Z296" s="11">
        <f>VLOOKUP(B296,calculo!$C$5:$E$29,3,FALSE)</f>
        <v>0.12434390024925701</v>
      </c>
      <c r="AA296" s="12">
        <f t="shared" si="14"/>
        <v>482.50950570342206</v>
      </c>
    </row>
    <row r="297" spans="1:27">
      <c r="A297">
        <v>2017</v>
      </c>
      <c r="B297" s="13" t="s">
        <v>59</v>
      </c>
      <c r="C297" s="13" t="s">
        <v>42</v>
      </c>
      <c r="D297" s="12">
        <v>29.41</v>
      </c>
      <c r="E297" s="17">
        <f t="shared" si="12"/>
        <v>29410</v>
      </c>
      <c r="F297" s="12">
        <v>1618.5</v>
      </c>
      <c r="G297" s="7">
        <v>5.0999999999999996</v>
      </c>
      <c r="H297" s="7">
        <v>14.6</v>
      </c>
      <c r="I297" s="12">
        <v>85</v>
      </c>
      <c r="J297" s="13" t="s">
        <v>35</v>
      </c>
      <c r="K297" s="13" t="s">
        <v>36</v>
      </c>
      <c r="L297">
        <v>44</v>
      </c>
      <c r="M297">
        <v>6600</v>
      </c>
      <c r="N297" s="15">
        <f>O297/100</f>
        <v>0.76</v>
      </c>
      <c r="O297" s="14">
        <v>76</v>
      </c>
      <c r="P297">
        <v>51.9</v>
      </c>
      <c r="Q297">
        <v>0.16</v>
      </c>
      <c r="R297">
        <v>0.52</v>
      </c>
      <c r="S297">
        <v>0</v>
      </c>
      <c r="T297" s="15">
        <f t="shared" si="13"/>
        <v>0.19899999999999998</v>
      </c>
      <c r="U297">
        <v>19.899999999999999</v>
      </c>
      <c r="V297">
        <v>41</v>
      </c>
      <c r="W297" s="12">
        <v>13.4</v>
      </c>
      <c r="X297" s="6">
        <v>414</v>
      </c>
      <c r="Y297" s="11">
        <f>VLOOKUP(B297,calculo!$C$5:$D$29,2,FALSE)</f>
        <v>0.15863193240980733</v>
      </c>
      <c r="Z297" s="11">
        <f>VLOOKUP(B297,calculo!$C$5:$E$29,3,FALSE)</f>
        <v>0.12434390024925701</v>
      </c>
      <c r="AA297" s="12">
        <f t="shared" si="14"/>
        <v>5766.666666666667</v>
      </c>
    </row>
    <row r="298" spans="1:27">
      <c r="A298">
        <v>2018</v>
      </c>
      <c r="B298" s="13" t="s">
        <v>59</v>
      </c>
      <c r="C298" s="13" t="s">
        <v>42</v>
      </c>
      <c r="D298" s="12">
        <v>34.07</v>
      </c>
      <c r="E298" s="17">
        <f t="shared" si="12"/>
        <v>34070</v>
      </c>
      <c r="F298" s="12">
        <v>4756.1000000000004</v>
      </c>
      <c r="G298" s="7">
        <v>48</v>
      </c>
      <c r="H298" s="7">
        <v>87.3</v>
      </c>
      <c r="I298" s="12">
        <v>36.200000000000003</v>
      </c>
      <c r="J298" s="13" t="s">
        <v>35</v>
      </c>
      <c r="K298" s="13" t="s">
        <v>30</v>
      </c>
      <c r="L298">
        <v>94</v>
      </c>
      <c r="M298">
        <v>17860</v>
      </c>
      <c r="N298" s="15">
        <f>O298/100</f>
        <v>0.91099999999999992</v>
      </c>
      <c r="O298" s="14">
        <v>91.1</v>
      </c>
      <c r="P298">
        <v>67.400000000000006</v>
      </c>
      <c r="Q298">
        <v>0.33</v>
      </c>
      <c r="R298">
        <v>0.57999999999999996</v>
      </c>
      <c r="S298">
        <v>0</v>
      </c>
      <c r="T298" s="15">
        <f t="shared" si="13"/>
        <v>0.23600000000000002</v>
      </c>
      <c r="U298">
        <v>23.6</v>
      </c>
      <c r="V298">
        <v>44</v>
      </c>
      <c r="W298" s="12">
        <v>16.100000000000001</v>
      </c>
      <c r="X298" s="6">
        <v>23</v>
      </c>
      <c r="Y298" s="11">
        <f>VLOOKUP(B298,calculo!$C$5:$D$29,2,FALSE)</f>
        <v>0.15863193240980733</v>
      </c>
      <c r="Z298" s="11">
        <f>VLOOKUP(B298,calculo!$C$5:$E$29,3,FALSE)</f>
        <v>0.12434390024925701</v>
      </c>
      <c r="AA298" s="12">
        <f t="shared" si="14"/>
        <v>709.79166666666663</v>
      </c>
    </row>
    <row r="299" spans="1:27">
      <c r="A299">
        <v>2019</v>
      </c>
      <c r="B299" s="13" t="s">
        <v>59</v>
      </c>
      <c r="C299" s="13" t="s">
        <v>42</v>
      </c>
      <c r="D299" s="12">
        <v>39.479999999999997</v>
      </c>
      <c r="E299" s="17">
        <f t="shared" si="12"/>
        <v>39480</v>
      </c>
      <c r="F299" s="12">
        <v>5225.2</v>
      </c>
      <c r="G299" s="7">
        <v>24.3</v>
      </c>
      <c r="H299" s="7">
        <v>58.8</v>
      </c>
      <c r="I299" s="12">
        <v>66.400000000000006</v>
      </c>
      <c r="J299" s="13" t="s">
        <v>33</v>
      </c>
      <c r="K299" s="13" t="s">
        <v>36</v>
      </c>
      <c r="L299">
        <v>39</v>
      </c>
      <c r="M299">
        <v>4251</v>
      </c>
      <c r="N299" s="15">
        <f>O299/100</f>
        <v>0.68900000000000006</v>
      </c>
      <c r="O299" s="14">
        <v>68.900000000000006</v>
      </c>
      <c r="P299">
        <v>70.099999999999994</v>
      </c>
      <c r="Q299">
        <v>0.48</v>
      </c>
      <c r="R299">
        <v>0.64</v>
      </c>
      <c r="S299">
        <v>0</v>
      </c>
      <c r="T299" s="15">
        <f t="shared" si="13"/>
        <v>0.24100000000000002</v>
      </c>
      <c r="U299">
        <v>24.1</v>
      </c>
      <c r="V299">
        <v>47</v>
      </c>
      <c r="W299" s="12">
        <v>7</v>
      </c>
      <c r="X299" s="6">
        <v>312</v>
      </c>
      <c r="Y299" s="11">
        <f>VLOOKUP(B299,calculo!$C$5:$D$29,2,FALSE)</f>
        <v>0.15863193240980733</v>
      </c>
      <c r="Z299" s="11">
        <f>VLOOKUP(B299,calculo!$C$5:$E$29,3,FALSE)</f>
        <v>0.12434390024925701</v>
      </c>
      <c r="AA299" s="12">
        <f t="shared" si="14"/>
        <v>1624.6913580246912</v>
      </c>
    </row>
    <row r="300" spans="1:27">
      <c r="A300">
        <v>2020</v>
      </c>
      <c r="B300" s="13" t="s">
        <v>59</v>
      </c>
      <c r="C300" s="13" t="s">
        <v>42</v>
      </c>
      <c r="D300" s="12">
        <v>45.74</v>
      </c>
      <c r="E300" s="17">
        <f t="shared" si="12"/>
        <v>45740</v>
      </c>
      <c r="F300" s="12">
        <v>5289.2</v>
      </c>
      <c r="G300" s="7">
        <v>58.3</v>
      </c>
      <c r="H300" s="7">
        <v>153.1</v>
      </c>
      <c r="I300" s="12">
        <v>115.8</v>
      </c>
      <c r="J300" s="13" t="s">
        <v>34</v>
      </c>
      <c r="K300" s="13" t="s">
        <v>32</v>
      </c>
      <c r="L300">
        <v>17</v>
      </c>
      <c r="M300">
        <v>3128</v>
      </c>
      <c r="N300" s="15">
        <f>O300/100</f>
        <v>0.92200000000000004</v>
      </c>
      <c r="O300" s="14">
        <v>92.2</v>
      </c>
      <c r="P300">
        <v>74.599999999999994</v>
      </c>
      <c r="Q300">
        <v>0.44</v>
      </c>
      <c r="R300">
        <v>1.0900000000000001</v>
      </c>
      <c r="S300">
        <v>0.39</v>
      </c>
      <c r="T300" s="15">
        <f t="shared" si="13"/>
        <v>0.26</v>
      </c>
      <c r="U300">
        <v>26</v>
      </c>
      <c r="V300">
        <v>50</v>
      </c>
      <c r="W300" s="12">
        <v>4.3</v>
      </c>
      <c r="X300" s="6">
        <v>346</v>
      </c>
      <c r="Y300" s="11">
        <f>VLOOKUP(B300,calculo!$C$5:$D$29,2,FALSE)</f>
        <v>0.15863193240980733</v>
      </c>
      <c r="Z300" s="11">
        <f>VLOOKUP(B300,calculo!$C$5:$E$29,3,FALSE)</f>
        <v>0.12434390024925701</v>
      </c>
      <c r="AA300" s="12">
        <f t="shared" si="14"/>
        <v>784.56260720411672</v>
      </c>
    </row>
    <row r="301" spans="1:27">
      <c r="A301">
        <v>2021</v>
      </c>
      <c r="B301" s="13" t="s">
        <v>59</v>
      </c>
      <c r="C301" s="13" t="s">
        <v>42</v>
      </c>
      <c r="D301" s="12">
        <v>52.99</v>
      </c>
      <c r="E301" s="17">
        <f t="shared" si="12"/>
        <v>52990</v>
      </c>
      <c r="F301" s="12">
        <v>7631.8</v>
      </c>
      <c r="G301" s="7">
        <v>4.7</v>
      </c>
      <c r="H301" s="7">
        <v>10.1</v>
      </c>
      <c r="I301" s="12">
        <v>82.6</v>
      </c>
      <c r="J301" s="13" t="s">
        <v>34</v>
      </c>
      <c r="K301" s="13" t="s">
        <v>36</v>
      </c>
      <c r="L301">
        <v>75</v>
      </c>
      <c r="M301">
        <v>11700</v>
      </c>
      <c r="N301" s="15">
        <f>O301/100</f>
        <v>0.7390000000000001</v>
      </c>
      <c r="O301" s="14">
        <v>73.900000000000006</v>
      </c>
      <c r="P301">
        <v>65.3</v>
      </c>
      <c r="Q301">
        <v>0.62</v>
      </c>
      <c r="R301">
        <v>1.22</v>
      </c>
      <c r="S301">
        <v>0.46</v>
      </c>
      <c r="T301" s="15">
        <f t="shared" si="13"/>
        <v>0.26200000000000001</v>
      </c>
      <c r="U301">
        <v>26.2</v>
      </c>
      <c r="V301">
        <v>53</v>
      </c>
      <c r="W301" s="12">
        <v>29.3</v>
      </c>
      <c r="X301" s="6">
        <v>430</v>
      </c>
      <c r="Y301" s="11">
        <f>VLOOKUP(B301,calculo!$C$5:$D$29,2,FALSE)</f>
        <v>0.15863193240980733</v>
      </c>
      <c r="Z301" s="11">
        <f>VLOOKUP(B301,calculo!$C$5:$E$29,3,FALSE)</f>
        <v>0.12434390024925701</v>
      </c>
      <c r="AA301" s="12">
        <f t="shared" si="14"/>
        <v>11274.468085106382</v>
      </c>
    </row>
    <row r="302" spans="1:27">
      <c r="A302">
        <v>2022</v>
      </c>
      <c r="B302" s="13" t="s">
        <v>59</v>
      </c>
      <c r="C302" s="13" t="s">
        <v>42</v>
      </c>
      <c r="D302" s="12">
        <v>61.4</v>
      </c>
      <c r="E302" s="17">
        <f t="shared" si="12"/>
        <v>61400</v>
      </c>
      <c r="F302" s="12">
        <v>4185.8999999999996</v>
      </c>
      <c r="G302" s="7">
        <v>11.1</v>
      </c>
      <c r="H302" s="7">
        <v>35</v>
      </c>
      <c r="I302" s="12">
        <v>35</v>
      </c>
      <c r="J302" s="13" t="s">
        <v>29</v>
      </c>
      <c r="K302" s="13" t="s">
        <v>30</v>
      </c>
      <c r="L302">
        <v>49</v>
      </c>
      <c r="M302">
        <v>6811</v>
      </c>
      <c r="N302" s="15">
        <f>O302/100</f>
        <v>0.75099999999999989</v>
      </c>
      <c r="O302" s="14">
        <v>75.099999999999994</v>
      </c>
      <c r="P302">
        <v>42.4</v>
      </c>
      <c r="Q302">
        <v>0.65</v>
      </c>
      <c r="R302">
        <v>0.82</v>
      </c>
      <c r="S302">
        <v>0</v>
      </c>
      <c r="T302" s="15">
        <f t="shared" si="13"/>
        <v>0.28600000000000003</v>
      </c>
      <c r="U302">
        <v>28.6</v>
      </c>
      <c r="V302">
        <v>56</v>
      </c>
      <c r="W302" s="12">
        <v>9.4</v>
      </c>
      <c r="X302" s="6">
        <v>289</v>
      </c>
      <c r="Y302" s="11">
        <f>VLOOKUP(B302,calculo!$C$5:$D$29,2,FALSE)</f>
        <v>0.15863193240980733</v>
      </c>
      <c r="Z302" s="11">
        <f>VLOOKUP(B302,calculo!$C$5:$E$29,3,FALSE)</f>
        <v>0.12434390024925701</v>
      </c>
      <c r="AA302" s="12">
        <f t="shared" si="14"/>
        <v>5531.531531531532</v>
      </c>
    </row>
    <row r="303" spans="1:27">
      <c r="A303">
        <v>2023</v>
      </c>
      <c r="B303" s="13" t="s">
        <v>59</v>
      </c>
      <c r="C303" s="13" t="s">
        <v>42</v>
      </c>
      <c r="D303" s="12">
        <v>71.13</v>
      </c>
      <c r="E303" s="17">
        <f t="shared" si="12"/>
        <v>71130</v>
      </c>
      <c r="F303" s="12">
        <v>3913.9</v>
      </c>
      <c r="G303" s="7">
        <v>28.9</v>
      </c>
      <c r="H303" s="7">
        <v>65.400000000000006</v>
      </c>
      <c r="I303" s="12">
        <v>68</v>
      </c>
      <c r="J303" s="13" t="s">
        <v>33</v>
      </c>
      <c r="K303" s="13" t="s">
        <v>30</v>
      </c>
      <c r="L303">
        <v>84</v>
      </c>
      <c r="M303">
        <v>23184</v>
      </c>
      <c r="N303" s="15">
        <f>O303/100</f>
        <v>0.80500000000000005</v>
      </c>
      <c r="O303" s="14">
        <v>80.5</v>
      </c>
      <c r="P303">
        <v>57.1</v>
      </c>
      <c r="Q303">
        <v>0.78</v>
      </c>
      <c r="R303">
        <v>0.88</v>
      </c>
      <c r="S303">
        <v>0</v>
      </c>
      <c r="T303" s="15">
        <f t="shared" si="13"/>
        <v>0.307</v>
      </c>
      <c r="U303">
        <v>30.7</v>
      </c>
      <c r="V303">
        <v>59</v>
      </c>
      <c r="W303" s="12">
        <v>14.5</v>
      </c>
      <c r="X303" s="6">
        <v>69</v>
      </c>
      <c r="Y303" s="11">
        <f>VLOOKUP(B303,calculo!$C$5:$D$29,2,FALSE)</f>
        <v>0.15863193240980733</v>
      </c>
      <c r="Z303" s="11">
        <f>VLOOKUP(B303,calculo!$C$5:$E$29,3,FALSE)</f>
        <v>0.12434390024925701</v>
      </c>
      <c r="AA303" s="12">
        <f t="shared" si="14"/>
        <v>2461.2456747404844</v>
      </c>
    </row>
    <row r="304" spans="1:27">
      <c r="A304">
        <v>2024</v>
      </c>
      <c r="B304" s="13" t="s">
        <v>59</v>
      </c>
      <c r="C304" s="13" t="s">
        <v>42</v>
      </c>
      <c r="D304" s="12">
        <v>82.42</v>
      </c>
      <c r="E304" s="17">
        <f t="shared" si="12"/>
        <v>82420</v>
      </c>
      <c r="F304" s="12">
        <v>9544.2999999999993</v>
      </c>
      <c r="G304" s="7">
        <v>2.5</v>
      </c>
      <c r="H304" s="7">
        <v>8.4</v>
      </c>
      <c r="I304" s="12">
        <v>58.5</v>
      </c>
      <c r="J304" s="13" t="s">
        <v>33</v>
      </c>
      <c r="K304" s="13" t="s">
        <v>30</v>
      </c>
      <c r="L304">
        <v>112</v>
      </c>
      <c r="M304">
        <v>5936</v>
      </c>
      <c r="N304" s="15">
        <f>O304/100</f>
        <v>0.61199999999999999</v>
      </c>
      <c r="O304" s="14">
        <v>61.2</v>
      </c>
      <c r="P304">
        <v>66.099999999999994</v>
      </c>
      <c r="Q304">
        <v>0.87</v>
      </c>
      <c r="R304">
        <v>0.94</v>
      </c>
      <c r="S304">
        <v>0</v>
      </c>
      <c r="T304" s="15">
        <f t="shared" si="13"/>
        <v>0.33100000000000002</v>
      </c>
      <c r="U304">
        <v>33.1</v>
      </c>
      <c r="V304">
        <v>62</v>
      </c>
      <c r="W304" s="12">
        <v>38.299999999999997</v>
      </c>
      <c r="X304" s="6">
        <v>466</v>
      </c>
      <c r="Y304" s="11">
        <f>VLOOKUP(B304,calculo!$C$5:$D$29,2,FALSE)</f>
        <v>0.15863193240980733</v>
      </c>
      <c r="Z304" s="11">
        <f>VLOOKUP(B304,calculo!$C$5:$E$29,3,FALSE)</f>
        <v>0.12434390024925701</v>
      </c>
      <c r="AA304" s="12">
        <f t="shared" si="14"/>
        <v>32968</v>
      </c>
    </row>
    <row r="305" spans="1:27">
      <c r="A305">
        <v>2025</v>
      </c>
      <c r="B305" s="13" t="s">
        <v>59</v>
      </c>
      <c r="C305" s="13" t="s">
        <v>42</v>
      </c>
      <c r="D305" s="12">
        <v>95.49</v>
      </c>
      <c r="E305" s="17">
        <f t="shared" si="12"/>
        <v>95490</v>
      </c>
      <c r="F305" s="12">
        <v>7879.8</v>
      </c>
      <c r="G305" s="7">
        <v>4.3</v>
      </c>
      <c r="H305" s="7">
        <v>8.6999999999999993</v>
      </c>
      <c r="I305" s="12">
        <v>30.8</v>
      </c>
      <c r="J305" s="13" t="s">
        <v>31</v>
      </c>
      <c r="K305" s="13" t="s">
        <v>36</v>
      </c>
      <c r="L305">
        <v>21</v>
      </c>
      <c r="M305">
        <v>3045</v>
      </c>
      <c r="N305" s="15">
        <f>O305/100</f>
        <v>0.82799999999999996</v>
      </c>
      <c r="O305" s="14">
        <v>82.8</v>
      </c>
      <c r="P305">
        <v>50.9</v>
      </c>
      <c r="Q305">
        <v>0.93</v>
      </c>
      <c r="R305">
        <v>1</v>
      </c>
      <c r="S305">
        <v>0</v>
      </c>
      <c r="T305" s="15">
        <f t="shared" si="13"/>
        <v>0.315</v>
      </c>
      <c r="U305">
        <v>31.5</v>
      </c>
      <c r="V305">
        <v>65</v>
      </c>
      <c r="W305" s="12">
        <v>8.1999999999999993</v>
      </c>
      <c r="X305" s="6">
        <v>223</v>
      </c>
      <c r="Y305" s="11">
        <f>VLOOKUP(B305,calculo!$C$5:$D$29,2,FALSE)</f>
        <v>0.15863193240980733</v>
      </c>
      <c r="Z305" s="11">
        <f>VLOOKUP(B305,calculo!$C$5:$E$29,3,FALSE)</f>
        <v>0.12434390024925701</v>
      </c>
      <c r="AA305" s="12">
        <f t="shared" si="14"/>
        <v>22206.976744186046</v>
      </c>
    </row>
    <row r="306" spans="1:27">
      <c r="A306">
        <v>2010</v>
      </c>
      <c r="B306" s="13" t="s">
        <v>60</v>
      </c>
      <c r="C306" s="13" t="s">
        <v>61</v>
      </c>
      <c r="D306" s="12">
        <v>12.49</v>
      </c>
      <c r="E306" s="17">
        <f t="shared" si="12"/>
        <v>12490</v>
      </c>
      <c r="F306" s="12">
        <v>1397.6</v>
      </c>
      <c r="G306" s="7">
        <v>28.4</v>
      </c>
      <c r="H306" s="7">
        <v>86.8</v>
      </c>
      <c r="I306" s="12">
        <v>149.69999999999999</v>
      </c>
      <c r="J306" s="13" t="s">
        <v>33</v>
      </c>
      <c r="K306" s="13" t="s">
        <v>36</v>
      </c>
      <c r="L306">
        <v>80</v>
      </c>
      <c r="M306">
        <v>10880</v>
      </c>
      <c r="N306" s="15">
        <f>O306/100</f>
        <v>0.63700000000000001</v>
      </c>
      <c r="O306" s="14">
        <v>63.7</v>
      </c>
      <c r="P306">
        <v>39.9</v>
      </c>
      <c r="Q306">
        <v>0.08</v>
      </c>
      <c r="R306">
        <v>0.1</v>
      </c>
      <c r="S306">
        <v>0</v>
      </c>
      <c r="T306" s="15">
        <f t="shared" si="13"/>
        <v>8.1000000000000003E-2</v>
      </c>
      <c r="U306">
        <v>8.1</v>
      </c>
      <c r="V306">
        <v>20</v>
      </c>
      <c r="W306" s="12">
        <v>21.2</v>
      </c>
      <c r="X306" s="6">
        <v>211</v>
      </c>
      <c r="Y306" s="11">
        <f>VLOOKUP(B306,calculo!$C$5:$D$29,2,FALSE)</f>
        <v>0.13809141282795068</v>
      </c>
      <c r="Z306" s="11">
        <f>VLOOKUP(B306,calculo!$C$5:$E$29,3,FALSE)</f>
        <v>0.12223248137611864</v>
      </c>
      <c r="AA306" s="12">
        <f t="shared" si="14"/>
        <v>439.78873239436621</v>
      </c>
    </row>
    <row r="307" spans="1:27">
      <c r="A307">
        <v>2011</v>
      </c>
      <c r="B307" s="13" t="s">
        <v>60</v>
      </c>
      <c r="C307" s="13" t="s">
        <v>61</v>
      </c>
      <c r="D307" s="12">
        <v>14.21</v>
      </c>
      <c r="E307" s="17">
        <f t="shared" si="12"/>
        <v>14210</v>
      </c>
      <c r="F307" s="12">
        <v>1147.0999999999999</v>
      </c>
      <c r="G307" s="7">
        <v>33.700000000000003</v>
      </c>
      <c r="H307" s="7">
        <v>78.7</v>
      </c>
      <c r="I307" s="12">
        <v>49.2</v>
      </c>
      <c r="J307" s="13" t="s">
        <v>35</v>
      </c>
      <c r="K307" s="13" t="s">
        <v>30</v>
      </c>
      <c r="L307">
        <v>113</v>
      </c>
      <c r="M307">
        <v>33561</v>
      </c>
      <c r="N307" s="15">
        <f>O307/100</f>
        <v>0.90400000000000003</v>
      </c>
      <c r="O307" s="14">
        <v>90.4</v>
      </c>
      <c r="P307">
        <v>31.3</v>
      </c>
      <c r="Q307">
        <v>0.04</v>
      </c>
      <c r="R307">
        <v>0.16</v>
      </c>
      <c r="S307">
        <v>0</v>
      </c>
      <c r="T307" s="15">
        <f t="shared" si="13"/>
        <v>0.128</v>
      </c>
      <c r="U307">
        <v>12.8</v>
      </c>
      <c r="V307">
        <v>23</v>
      </c>
      <c r="W307" s="12">
        <v>28.8</v>
      </c>
      <c r="X307" s="6">
        <v>323</v>
      </c>
      <c r="Y307" s="11">
        <f>VLOOKUP(B307,calculo!$C$5:$D$29,2,FALSE)</f>
        <v>0.13809141282795068</v>
      </c>
      <c r="Z307" s="11">
        <f>VLOOKUP(B307,calculo!$C$5:$E$29,3,FALSE)</f>
        <v>0.12223248137611864</v>
      </c>
      <c r="AA307" s="12">
        <f t="shared" si="14"/>
        <v>421.66172106824922</v>
      </c>
    </row>
    <row r="308" spans="1:27">
      <c r="A308">
        <v>2012</v>
      </c>
      <c r="B308" s="13" t="s">
        <v>60</v>
      </c>
      <c r="C308" s="13" t="s">
        <v>61</v>
      </c>
      <c r="D308" s="12">
        <v>16.170000000000002</v>
      </c>
      <c r="E308" s="17">
        <f t="shared" si="12"/>
        <v>16170.000000000002</v>
      </c>
      <c r="F308" s="12">
        <v>893.4</v>
      </c>
      <c r="G308" s="7">
        <v>11.3</v>
      </c>
      <c r="H308" s="7">
        <v>24.4</v>
      </c>
      <c r="I308" s="12">
        <v>39.200000000000003</v>
      </c>
      <c r="J308" s="13" t="s">
        <v>29</v>
      </c>
      <c r="K308" s="13" t="s">
        <v>32</v>
      </c>
      <c r="L308">
        <v>79</v>
      </c>
      <c r="M308">
        <v>4740</v>
      </c>
      <c r="N308" s="15">
        <f>O308/100</f>
        <v>0.56100000000000005</v>
      </c>
      <c r="O308" s="14">
        <v>56.1</v>
      </c>
      <c r="P308">
        <v>42.4</v>
      </c>
      <c r="Q308">
        <v>0.15</v>
      </c>
      <c r="R308">
        <v>0.22</v>
      </c>
      <c r="S308">
        <v>0</v>
      </c>
      <c r="T308" s="15">
        <f t="shared" si="13"/>
        <v>0.122</v>
      </c>
      <c r="U308">
        <v>12.2</v>
      </c>
      <c r="V308">
        <v>26</v>
      </c>
      <c r="W308" s="12">
        <v>28.2</v>
      </c>
      <c r="X308" s="6">
        <v>73</v>
      </c>
      <c r="Y308" s="11">
        <f>VLOOKUP(B308,calculo!$C$5:$D$29,2,FALSE)</f>
        <v>0.13809141282795068</v>
      </c>
      <c r="Z308" s="11">
        <f>VLOOKUP(B308,calculo!$C$5:$E$29,3,FALSE)</f>
        <v>0.12223248137611864</v>
      </c>
      <c r="AA308" s="12">
        <f t="shared" si="14"/>
        <v>1430.9734513274336</v>
      </c>
    </row>
    <row r="309" spans="1:27">
      <c r="A309">
        <v>2013</v>
      </c>
      <c r="B309" s="13" t="s">
        <v>60</v>
      </c>
      <c r="C309" s="13" t="s">
        <v>61</v>
      </c>
      <c r="D309" s="12">
        <v>18.41</v>
      </c>
      <c r="E309" s="17">
        <f t="shared" si="12"/>
        <v>18410</v>
      </c>
      <c r="F309" s="12">
        <v>2499.6</v>
      </c>
      <c r="G309" s="7">
        <v>44.4</v>
      </c>
      <c r="H309" s="7">
        <v>150.69999999999999</v>
      </c>
      <c r="I309" s="12">
        <v>123.8</v>
      </c>
      <c r="J309" s="13" t="s">
        <v>33</v>
      </c>
      <c r="K309" s="13" t="s">
        <v>36</v>
      </c>
      <c r="L309">
        <v>111</v>
      </c>
      <c r="M309">
        <v>24864</v>
      </c>
      <c r="N309" s="15">
        <f>O309/100</f>
        <v>0.755</v>
      </c>
      <c r="O309" s="14">
        <v>75.5</v>
      </c>
      <c r="P309">
        <v>25.5</v>
      </c>
      <c r="Q309">
        <v>0.09</v>
      </c>
      <c r="R309">
        <v>0.28000000000000003</v>
      </c>
      <c r="S309">
        <v>0</v>
      </c>
      <c r="T309" s="15">
        <f t="shared" si="13"/>
        <v>0.14899999999999999</v>
      </c>
      <c r="U309">
        <v>14.9</v>
      </c>
      <c r="V309">
        <v>29</v>
      </c>
      <c r="W309" s="12">
        <v>23.5</v>
      </c>
      <c r="X309" s="6">
        <v>483</v>
      </c>
      <c r="Y309" s="11">
        <f>VLOOKUP(B309,calculo!$C$5:$D$29,2,FALSE)</f>
        <v>0.13809141282795068</v>
      </c>
      <c r="Z309" s="11">
        <f>VLOOKUP(B309,calculo!$C$5:$E$29,3,FALSE)</f>
        <v>0.12223248137611864</v>
      </c>
      <c r="AA309" s="12">
        <f t="shared" si="14"/>
        <v>414.63963963963965</v>
      </c>
    </row>
    <row r="310" spans="1:27">
      <c r="A310">
        <v>2014</v>
      </c>
      <c r="B310" s="13" t="s">
        <v>60</v>
      </c>
      <c r="C310" s="13" t="s">
        <v>61</v>
      </c>
      <c r="D310" s="12">
        <v>20.95</v>
      </c>
      <c r="E310" s="17">
        <f t="shared" si="12"/>
        <v>20950</v>
      </c>
      <c r="F310" s="12">
        <v>1616.2</v>
      </c>
      <c r="G310" s="7">
        <v>54.4</v>
      </c>
      <c r="H310" s="7">
        <v>122.5</v>
      </c>
      <c r="I310" s="12">
        <v>96</v>
      </c>
      <c r="J310" s="13" t="s">
        <v>34</v>
      </c>
      <c r="K310" s="13" t="s">
        <v>36</v>
      </c>
      <c r="L310">
        <v>108</v>
      </c>
      <c r="M310">
        <v>18684</v>
      </c>
      <c r="N310" s="15">
        <f>O310/100</f>
        <v>0.6</v>
      </c>
      <c r="O310" s="14">
        <v>60</v>
      </c>
      <c r="P310">
        <v>48.8</v>
      </c>
      <c r="Q310">
        <v>0.15</v>
      </c>
      <c r="R310">
        <v>0.34</v>
      </c>
      <c r="S310">
        <v>0</v>
      </c>
      <c r="T310" s="15">
        <f t="shared" si="13"/>
        <v>0.14599999999999999</v>
      </c>
      <c r="U310">
        <v>14.6</v>
      </c>
      <c r="V310">
        <v>32</v>
      </c>
      <c r="W310" s="12">
        <v>27.7</v>
      </c>
      <c r="X310" s="6">
        <v>301</v>
      </c>
      <c r="Y310" s="11">
        <f>VLOOKUP(B310,calculo!$C$5:$D$29,2,FALSE)</f>
        <v>0.13809141282795068</v>
      </c>
      <c r="Z310" s="11">
        <f>VLOOKUP(B310,calculo!$C$5:$E$29,3,FALSE)</f>
        <v>0.12223248137611864</v>
      </c>
      <c r="AA310" s="12">
        <f t="shared" si="14"/>
        <v>385.11029411764707</v>
      </c>
    </row>
    <row r="311" spans="1:27">
      <c r="A311">
        <v>2015</v>
      </c>
      <c r="B311" s="13" t="s">
        <v>60</v>
      </c>
      <c r="C311" s="13" t="s">
        <v>61</v>
      </c>
      <c r="D311" s="12">
        <v>23.84</v>
      </c>
      <c r="E311" s="17">
        <f t="shared" si="12"/>
        <v>23840</v>
      </c>
      <c r="F311" s="12">
        <v>1996.7</v>
      </c>
      <c r="G311" s="7">
        <v>52.5</v>
      </c>
      <c r="H311" s="7">
        <v>87.5</v>
      </c>
      <c r="I311" s="12">
        <v>55.3</v>
      </c>
      <c r="J311" s="13" t="s">
        <v>31</v>
      </c>
      <c r="K311" s="13" t="s">
        <v>36</v>
      </c>
      <c r="L311">
        <v>78</v>
      </c>
      <c r="M311">
        <v>9360</v>
      </c>
      <c r="N311" s="15">
        <f>O311/100</f>
        <v>0.69900000000000007</v>
      </c>
      <c r="O311" s="14">
        <v>69.900000000000006</v>
      </c>
      <c r="P311">
        <v>50.1</v>
      </c>
      <c r="Q311">
        <v>0.09</v>
      </c>
      <c r="R311">
        <v>0.4</v>
      </c>
      <c r="S311">
        <v>0</v>
      </c>
      <c r="T311" s="15">
        <f t="shared" si="13"/>
        <v>0.16500000000000001</v>
      </c>
      <c r="U311">
        <v>16.5</v>
      </c>
      <c r="V311">
        <v>35</v>
      </c>
      <c r="W311" s="12">
        <v>12.7</v>
      </c>
      <c r="X311" s="6">
        <v>237</v>
      </c>
      <c r="Y311" s="11">
        <f>VLOOKUP(B311,calculo!$C$5:$D$29,2,FALSE)</f>
        <v>0.13809141282795068</v>
      </c>
      <c r="Z311" s="11">
        <f>VLOOKUP(B311,calculo!$C$5:$E$29,3,FALSE)</f>
        <v>0.12223248137611864</v>
      </c>
      <c r="AA311" s="12">
        <f t="shared" si="14"/>
        <v>454.09523809523807</v>
      </c>
    </row>
    <row r="312" spans="1:27">
      <c r="A312">
        <v>2016</v>
      </c>
      <c r="B312" s="13" t="s">
        <v>60</v>
      </c>
      <c r="C312" s="13" t="s">
        <v>61</v>
      </c>
      <c r="D312" s="12">
        <v>27.14</v>
      </c>
      <c r="E312" s="17">
        <f t="shared" si="12"/>
        <v>27140</v>
      </c>
      <c r="F312" s="12">
        <v>1943.6</v>
      </c>
      <c r="G312" s="7">
        <v>14.1</v>
      </c>
      <c r="H312" s="7">
        <v>29.5</v>
      </c>
      <c r="I312" s="12">
        <v>139.30000000000001</v>
      </c>
      <c r="J312" s="13" t="s">
        <v>31</v>
      </c>
      <c r="K312" s="13" t="s">
        <v>30</v>
      </c>
      <c r="L312">
        <v>33</v>
      </c>
      <c r="M312">
        <v>6501</v>
      </c>
      <c r="N312" s="15">
        <f>O312/100</f>
        <v>0.68400000000000005</v>
      </c>
      <c r="O312" s="14">
        <v>68.400000000000006</v>
      </c>
      <c r="P312">
        <v>76</v>
      </c>
      <c r="Q312">
        <v>0.21</v>
      </c>
      <c r="R312">
        <v>0.46</v>
      </c>
      <c r="S312">
        <v>0</v>
      </c>
      <c r="T312" s="15">
        <f t="shared" si="13"/>
        <v>0.23699999999999999</v>
      </c>
      <c r="U312">
        <v>23.7</v>
      </c>
      <c r="V312">
        <v>38</v>
      </c>
      <c r="W312" s="12">
        <v>11</v>
      </c>
      <c r="X312" s="6">
        <v>462</v>
      </c>
      <c r="Y312" s="11">
        <f>VLOOKUP(B312,calculo!$C$5:$D$29,2,FALSE)</f>
        <v>0.13809141282795068</v>
      </c>
      <c r="Z312" s="11">
        <f>VLOOKUP(B312,calculo!$C$5:$E$29,3,FALSE)</f>
        <v>0.12223248137611864</v>
      </c>
      <c r="AA312" s="12">
        <f t="shared" si="14"/>
        <v>1924.822695035461</v>
      </c>
    </row>
    <row r="313" spans="1:27">
      <c r="A313">
        <v>2017</v>
      </c>
      <c r="B313" s="13" t="s">
        <v>60</v>
      </c>
      <c r="C313" s="13" t="s">
        <v>61</v>
      </c>
      <c r="D313" s="12">
        <v>30.88</v>
      </c>
      <c r="E313" s="17">
        <f t="shared" si="12"/>
        <v>30880</v>
      </c>
      <c r="F313" s="12">
        <v>2586.6</v>
      </c>
      <c r="G313" s="7">
        <v>48.6</v>
      </c>
      <c r="H313" s="7">
        <v>96.8</v>
      </c>
      <c r="I313" s="12">
        <v>147.1</v>
      </c>
      <c r="J313" s="13" t="s">
        <v>31</v>
      </c>
      <c r="K313" s="13" t="s">
        <v>36</v>
      </c>
      <c r="L313">
        <v>104</v>
      </c>
      <c r="M313">
        <v>7384</v>
      </c>
      <c r="N313" s="15">
        <f>O313/100</f>
        <v>0.60299999999999998</v>
      </c>
      <c r="O313" s="14">
        <v>60.3</v>
      </c>
      <c r="P313">
        <v>55.8</v>
      </c>
      <c r="Q313">
        <v>0.28000000000000003</v>
      </c>
      <c r="R313">
        <v>0.52</v>
      </c>
      <c r="S313">
        <v>0</v>
      </c>
      <c r="T313" s="15">
        <f t="shared" si="13"/>
        <v>0.24100000000000002</v>
      </c>
      <c r="U313">
        <v>24.1</v>
      </c>
      <c r="V313">
        <v>41</v>
      </c>
      <c r="W313" s="12">
        <v>24.4</v>
      </c>
      <c r="X313" s="6">
        <v>79</v>
      </c>
      <c r="Y313" s="11">
        <f>VLOOKUP(B313,calculo!$C$5:$D$29,2,FALSE)</f>
        <v>0.13809141282795068</v>
      </c>
      <c r="Z313" s="11">
        <f>VLOOKUP(B313,calculo!$C$5:$E$29,3,FALSE)</f>
        <v>0.12223248137611864</v>
      </c>
      <c r="AA313" s="12">
        <f t="shared" si="14"/>
        <v>635.39094650205755</v>
      </c>
    </row>
    <row r="314" spans="1:27">
      <c r="A314">
        <v>2018</v>
      </c>
      <c r="B314" s="13" t="s">
        <v>60</v>
      </c>
      <c r="C314" s="13" t="s">
        <v>61</v>
      </c>
      <c r="D314" s="12">
        <v>35.15</v>
      </c>
      <c r="E314" s="17">
        <f t="shared" si="12"/>
        <v>35150</v>
      </c>
      <c r="F314" s="12">
        <v>2253.4</v>
      </c>
      <c r="G314" s="7">
        <v>33.6</v>
      </c>
      <c r="H314" s="7">
        <v>57.6</v>
      </c>
      <c r="I314" s="12">
        <v>35.4</v>
      </c>
      <c r="J314" s="13" t="s">
        <v>33</v>
      </c>
      <c r="K314" s="13" t="s">
        <v>36</v>
      </c>
      <c r="L314">
        <v>91</v>
      </c>
      <c r="M314">
        <v>15925</v>
      </c>
      <c r="N314" s="15">
        <f>O314/100</f>
        <v>0.94499999999999995</v>
      </c>
      <c r="O314" s="14">
        <v>94.5</v>
      </c>
      <c r="P314">
        <v>27.3</v>
      </c>
      <c r="Q314">
        <v>0.35</v>
      </c>
      <c r="R314">
        <v>0.57999999999999996</v>
      </c>
      <c r="S314">
        <v>0</v>
      </c>
      <c r="T314" s="15">
        <f t="shared" si="13"/>
        <v>0.24100000000000002</v>
      </c>
      <c r="U314">
        <v>24.1</v>
      </c>
      <c r="V314">
        <v>44</v>
      </c>
      <c r="W314" s="12">
        <v>25.8</v>
      </c>
      <c r="X314" s="6">
        <v>146</v>
      </c>
      <c r="Y314" s="11">
        <f>VLOOKUP(B314,calculo!$C$5:$D$29,2,FALSE)</f>
        <v>0.13809141282795068</v>
      </c>
      <c r="Z314" s="11">
        <f>VLOOKUP(B314,calculo!$C$5:$E$29,3,FALSE)</f>
        <v>0.12223248137611864</v>
      </c>
      <c r="AA314" s="12">
        <f t="shared" si="14"/>
        <v>1046.1309523809523</v>
      </c>
    </row>
    <row r="315" spans="1:27">
      <c r="A315">
        <v>2019</v>
      </c>
      <c r="B315" s="13" t="s">
        <v>60</v>
      </c>
      <c r="C315" s="13" t="s">
        <v>61</v>
      </c>
      <c r="D315" s="12">
        <v>40</v>
      </c>
      <c r="E315" s="17">
        <f t="shared" si="12"/>
        <v>40000</v>
      </c>
      <c r="F315" s="12">
        <v>5464.9</v>
      </c>
      <c r="G315" s="7">
        <v>18.8</v>
      </c>
      <c r="H315" s="7">
        <v>45.8</v>
      </c>
      <c r="I315" s="12">
        <v>104.3</v>
      </c>
      <c r="J315" s="13" t="s">
        <v>35</v>
      </c>
      <c r="K315" s="13" t="s">
        <v>30</v>
      </c>
      <c r="L315">
        <v>14</v>
      </c>
      <c r="M315">
        <v>2506</v>
      </c>
      <c r="N315" s="15">
        <f>O315/100</f>
        <v>0.51100000000000001</v>
      </c>
      <c r="O315" s="14">
        <v>51.1</v>
      </c>
      <c r="P315">
        <v>57.2</v>
      </c>
      <c r="Q315">
        <v>0.46</v>
      </c>
      <c r="R315">
        <v>0.64</v>
      </c>
      <c r="S315">
        <v>0</v>
      </c>
      <c r="T315" s="15">
        <f t="shared" si="13"/>
        <v>0.28699999999999998</v>
      </c>
      <c r="U315">
        <v>28.7</v>
      </c>
      <c r="V315">
        <v>47</v>
      </c>
      <c r="W315" s="12">
        <v>4.3</v>
      </c>
      <c r="X315" s="6">
        <v>97</v>
      </c>
      <c r="Y315" s="11">
        <f>VLOOKUP(B315,calculo!$C$5:$D$29,2,FALSE)</f>
        <v>0.13809141282795068</v>
      </c>
      <c r="Z315" s="11">
        <f>VLOOKUP(B315,calculo!$C$5:$E$29,3,FALSE)</f>
        <v>0.12223248137611864</v>
      </c>
      <c r="AA315" s="12">
        <f t="shared" si="14"/>
        <v>2127.6595744680849</v>
      </c>
    </row>
    <row r="316" spans="1:27">
      <c r="A316">
        <v>2020</v>
      </c>
      <c r="B316" s="13" t="s">
        <v>60</v>
      </c>
      <c r="C316" s="13" t="s">
        <v>61</v>
      </c>
      <c r="D316" s="12">
        <v>45.53</v>
      </c>
      <c r="E316" s="17">
        <f t="shared" si="12"/>
        <v>45530</v>
      </c>
      <c r="F316" s="12">
        <v>2350.1999999999998</v>
      </c>
      <c r="G316" s="7">
        <v>49.5</v>
      </c>
      <c r="H316" s="7">
        <v>78.2</v>
      </c>
      <c r="I316" s="12">
        <v>136.80000000000001</v>
      </c>
      <c r="J316" s="13" t="s">
        <v>31</v>
      </c>
      <c r="K316" s="13" t="s">
        <v>36</v>
      </c>
      <c r="L316">
        <v>96</v>
      </c>
      <c r="M316">
        <v>26208</v>
      </c>
      <c r="N316" s="15">
        <f>O316/100</f>
        <v>0.84400000000000008</v>
      </c>
      <c r="O316" s="14">
        <v>84.4</v>
      </c>
      <c r="P316">
        <v>44</v>
      </c>
      <c r="Q316">
        <v>0.56999999999999995</v>
      </c>
      <c r="R316">
        <v>1.23</v>
      </c>
      <c r="S316">
        <v>0.53</v>
      </c>
      <c r="T316" s="15">
        <f t="shared" si="13"/>
        <v>0.27300000000000002</v>
      </c>
      <c r="U316">
        <v>27.3</v>
      </c>
      <c r="V316">
        <v>50</v>
      </c>
      <c r="W316" s="12">
        <v>21.5</v>
      </c>
      <c r="X316" s="6">
        <v>289</v>
      </c>
      <c r="Y316" s="11">
        <f>VLOOKUP(B316,calculo!$C$5:$D$29,2,FALSE)</f>
        <v>0.13809141282795068</v>
      </c>
      <c r="Z316" s="11">
        <f>VLOOKUP(B316,calculo!$C$5:$E$29,3,FALSE)</f>
        <v>0.12223248137611864</v>
      </c>
      <c r="AA316" s="12">
        <f t="shared" si="14"/>
        <v>919.79797979797979</v>
      </c>
    </row>
    <row r="317" spans="1:27">
      <c r="A317">
        <v>2021</v>
      </c>
      <c r="B317" s="13" t="s">
        <v>60</v>
      </c>
      <c r="C317" s="13" t="s">
        <v>61</v>
      </c>
      <c r="D317" s="12">
        <v>51.82</v>
      </c>
      <c r="E317" s="17">
        <f t="shared" si="12"/>
        <v>51820</v>
      </c>
      <c r="F317" s="12">
        <v>3074.1</v>
      </c>
      <c r="G317" s="7">
        <v>57.9</v>
      </c>
      <c r="H317" s="7">
        <v>102.5</v>
      </c>
      <c r="I317" s="12">
        <v>48.2</v>
      </c>
      <c r="J317" s="13" t="s">
        <v>35</v>
      </c>
      <c r="K317" s="13" t="s">
        <v>30</v>
      </c>
      <c r="L317">
        <v>31</v>
      </c>
      <c r="M317">
        <v>5022</v>
      </c>
      <c r="N317" s="15">
        <f>O317/100</f>
        <v>0.75900000000000001</v>
      </c>
      <c r="O317" s="14">
        <v>75.900000000000006</v>
      </c>
      <c r="P317">
        <v>57.2</v>
      </c>
      <c r="Q317">
        <v>0.56999999999999995</v>
      </c>
      <c r="R317">
        <v>1.1599999999999999</v>
      </c>
      <c r="S317">
        <v>0.4</v>
      </c>
      <c r="T317" s="15">
        <f t="shared" si="13"/>
        <v>0.27800000000000002</v>
      </c>
      <c r="U317">
        <v>27.8</v>
      </c>
      <c r="V317">
        <v>53</v>
      </c>
      <c r="W317" s="12">
        <v>12</v>
      </c>
      <c r="X317" s="6">
        <v>175</v>
      </c>
      <c r="Y317" s="11">
        <f>VLOOKUP(B317,calculo!$C$5:$D$29,2,FALSE)</f>
        <v>0.13809141282795068</v>
      </c>
      <c r="Z317" s="11">
        <f>VLOOKUP(B317,calculo!$C$5:$E$29,3,FALSE)</f>
        <v>0.12223248137611864</v>
      </c>
      <c r="AA317" s="12">
        <f t="shared" si="14"/>
        <v>894.99136442141628</v>
      </c>
    </row>
    <row r="318" spans="1:27">
      <c r="A318">
        <v>2022</v>
      </c>
      <c r="B318" s="13" t="s">
        <v>60</v>
      </c>
      <c r="C318" s="13" t="s">
        <v>61</v>
      </c>
      <c r="D318" s="12">
        <v>58.97</v>
      </c>
      <c r="E318" s="17">
        <f t="shared" si="12"/>
        <v>58970</v>
      </c>
      <c r="F318" s="12">
        <v>4858.3</v>
      </c>
      <c r="G318" s="7">
        <v>40.299999999999997</v>
      </c>
      <c r="H318" s="7">
        <v>113.1</v>
      </c>
      <c r="I318" s="12">
        <v>60.1</v>
      </c>
      <c r="J318" s="13" t="s">
        <v>31</v>
      </c>
      <c r="K318" s="13" t="s">
        <v>30</v>
      </c>
      <c r="L318">
        <v>84</v>
      </c>
      <c r="M318">
        <v>24024</v>
      </c>
      <c r="N318" s="15">
        <f>O318/100</f>
        <v>0.52</v>
      </c>
      <c r="O318" s="14">
        <v>52</v>
      </c>
      <c r="P318">
        <v>80.099999999999994</v>
      </c>
      <c r="Q318">
        <v>0.69</v>
      </c>
      <c r="R318">
        <v>0.82</v>
      </c>
      <c r="S318">
        <v>0</v>
      </c>
      <c r="T318" s="15">
        <f t="shared" si="13"/>
        <v>0.29899999999999999</v>
      </c>
      <c r="U318">
        <v>29.9</v>
      </c>
      <c r="V318">
        <v>56</v>
      </c>
      <c r="W318" s="12">
        <v>25.3</v>
      </c>
      <c r="X318" s="6">
        <v>171</v>
      </c>
      <c r="Y318" s="11">
        <f>VLOOKUP(B318,calculo!$C$5:$D$29,2,FALSE)</f>
        <v>0.13809141282795068</v>
      </c>
      <c r="Z318" s="11">
        <f>VLOOKUP(B318,calculo!$C$5:$E$29,3,FALSE)</f>
        <v>0.12223248137611864</v>
      </c>
      <c r="AA318" s="12">
        <f t="shared" si="14"/>
        <v>1463.2754342431763</v>
      </c>
    </row>
    <row r="319" spans="1:27">
      <c r="A319">
        <v>2023</v>
      </c>
      <c r="B319" s="13" t="s">
        <v>60</v>
      </c>
      <c r="C319" s="13" t="s">
        <v>61</v>
      </c>
      <c r="D319" s="12">
        <v>67.12</v>
      </c>
      <c r="E319" s="17">
        <f t="shared" si="12"/>
        <v>67120</v>
      </c>
      <c r="F319" s="12">
        <v>6117</v>
      </c>
      <c r="G319" s="7">
        <v>9.3000000000000007</v>
      </c>
      <c r="H319" s="7">
        <v>14.5</v>
      </c>
      <c r="I319" s="12">
        <v>104.7</v>
      </c>
      <c r="J319" s="13" t="s">
        <v>31</v>
      </c>
      <c r="K319" s="13" t="s">
        <v>30</v>
      </c>
      <c r="L319">
        <v>102</v>
      </c>
      <c r="M319">
        <v>22950</v>
      </c>
      <c r="N319" s="15">
        <f>O319/100</f>
        <v>0.69200000000000006</v>
      </c>
      <c r="O319" s="14">
        <v>69.2</v>
      </c>
      <c r="P319">
        <v>66.099999999999994</v>
      </c>
      <c r="Q319">
        <v>0.76</v>
      </c>
      <c r="R319">
        <v>0.88</v>
      </c>
      <c r="S319">
        <v>0</v>
      </c>
      <c r="T319" s="15">
        <f t="shared" si="13"/>
        <v>0.29199999999999998</v>
      </c>
      <c r="U319">
        <v>29.2</v>
      </c>
      <c r="V319">
        <v>59</v>
      </c>
      <c r="W319" s="12">
        <v>16</v>
      </c>
      <c r="X319" s="6">
        <v>417</v>
      </c>
      <c r="Y319" s="11">
        <f>VLOOKUP(B319,calculo!$C$5:$D$29,2,FALSE)</f>
        <v>0.13809141282795068</v>
      </c>
      <c r="Z319" s="11">
        <f>VLOOKUP(B319,calculo!$C$5:$E$29,3,FALSE)</f>
        <v>0.12223248137611864</v>
      </c>
      <c r="AA319" s="12">
        <f t="shared" si="14"/>
        <v>7217.2043010752686</v>
      </c>
    </row>
    <row r="320" spans="1:27">
      <c r="A320">
        <v>2024</v>
      </c>
      <c r="B320" s="13" t="s">
        <v>60</v>
      </c>
      <c r="C320" s="13" t="s">
        <v>61</v>
      </c>
      <c r="D320" s="12">
        <v>76.39</v>
      </c>
      <c r="E320" s="17">
        <f t="shared" si="12"/>
        <v>76390</v>
      </c>
      <c r="F320" s="12">
        <v>9972.7000000000007</v>
      </c>
      <c r="G320" s="7">
        <v>25.1</v>
      </c>
      <c r="H320" s="7">
        <v>78</v>
      </c>
      <c r="I320" s="12">
        <v>101</v>
      </c>
      <c r="J320" s="13" t="s">
        <v>29</v>
      </c>
      <c r="K320" s="13" t="s">
        <v>30</v>
      </c>
      <c r="L320">
        <v>88</v>
      </c>
      <c r="M320">
        <v>15312</v>
      </c>
      <c r="N320" s="15">
        <f>O320/100</f>
        <v>0.746</v>
      </c>
      <c r="O320" s="14">
        <v>74.599999999999994</v>
      </c>
      <c r="P320">
        <v>88</v>
      </c>
      <c r="Q320">
        <v>0.93</v>
      </c>
      <c r="R320">
        <v>0.94</v>
      </c>
      <c r="S320">
        <v>0</v>
      </c>
      <c r="T320" s="15">
        <f t="shared" si="13"/>
        <v>0.33100000000000002</v>
      </c>
      <c r="U320">
        <v>33.1</v>
      </c>
      <c r="V320">
        <v>62</v>
      </c>
      <c r="W320" s="12">
        <v>13.7</v>
      </c>
      <c r="X320" s="6">
        <v>225</v>
      </c>
      <c r="Y320" s="11">
        <f>VLOOKUP(B320,calculo!$C$5:$D$29,2,FALSE)</f>
        <v>0.13809141282795068</v>
      </c>
      <c r="Z320" s="11">
        <f>VLOOKUP(B320,calculo!$C$5:$E$29,3,FALSE)</f>
        <v>0.12223248137611864</v>
      </c>
      <c r="AA320" s="12">
        <f t="shared" si="14"/>
        <v>3043.426294820717</v>
      </c>
    </row>
    <row r="321" spans="1:27">
      <c r="A321">
        <v>2025</v>
      </c>
      <c r="B321" s="13" t="s">
        <v>60</v>
      </c>
      <c r="C321" s="13" t="s">
        <v>61</v>
      </c>
      <c r="D321" s="12">
        <v>86.94</v>
      </c>
      <c r="E321" s="17">
        <f t="shared" si="12"/>
        <v>86940</v>
      </c>
      <c r="F321" s="12">
        <v>7881.8</v>
      </c>
      <c r="G321" s="7">
        <v>10.3</v>
      </c>
      <c r="H321" s="7">
        <v>30.2</v>
      </c>
      <c r="I321" s="12">
        <v>65.2</v>
      </c>
      <c r="J321" s="13" t="s">
        <v>31</v>
      </c>
      <c r="K321" s="13" t="s">
        <v>36</v>
      </c>
      <c r="L321">
        <v>82</v>
      </c>
      <c r="M321">
        <v>14432</v>
      </c>
      <c r="N321" s="15">
        <f>O321/100</f>
        <v>0.63900000000000001</v>
      </c>
      <c r="O321" s="14">
        <v>63.9</v>
      </c>
      <c r="P321">
        <v>87.8</v>
      </c>
      <c r="Q321">
        <v>0.93</v>
      </c>
      <c r="R321">
        <v>1</v>
      </c>
      <c r="S321">
        <v>0</v>
      </c>
      <c r="T321" s="15">
        <f t="shared" si="13"/>
        <v>0.34499999999999997</v>
      </c>
      <c r="U321">
        <v>34.5</v>
      </c>
      <c r="V321">
        <v>65</v>
      </c>
      <c r="W321" s="12">
        <v>26.6</v>
      </c>
      <c r="X321" s="6">
        <v>157</v>
      </c>
      <c r="Y321" s="11">
        <f>VLOOKUP(B321,calculo!$C$5:$D$29,2,FALSE)</f>
        <v>0.13809141282795068</v>
      </c>
      <c r="Z321" s="11">
        <f>VLOOKUP(B321,calculo!$C$5:$E$29,3,FALSE)</f>
        <v>0.12223248137611864</v>
      </c>
      <c r="AA321" s="12">
        <f t="shared" si="14"/>
        <v>8440.7766990291257</v>
      </c>
    </row>
    <row r="322" spans="1:27">
      <c r="A322">
        <v>2010</v>
      </c>
      <c r="B322" s="13" t="s">
        <v>62</v>
      </c>
      <c r="C322" s="13" t="s">
        <v>48</v>
      </c>
      <c r="D322" s="12">
        <v>14.24</v>
      </c>
      <c r="E322" s="17">
        <f t="shared" si="12"/>
        <v>14240</v>
      </c>
      <c r="F322" s="12">
        <v>1614.7</v>
      </c>
      <c r="G322" s="7">
        <v>36.4</v>
      </c>
      <c r="H322" s="7">
        <v>55.8</v>
      </c>
      <c r="I322" s="12">
        <v>117.5</v>
      </c>
      <c r="J322" s="13" t="s">
        <v>29</v>
      </c>
      <c r="K322" s="13" t="s">
        <v>32</v>
      </c>
      <c r="L322">
        <v>20</v>
      </c>
      <c r="M322">
        <v>2600</v>
      </c>
      <c r="N322" s="15">
        <f>O322/100</f>
        <v>0.55700000000000005</v>
      </c>
      <c r="O322" s="14">
        <v>55.7</v>
      </c>
      <c r="P322">
        <v>86</v>
      </c>
      <c r="Q322">
        <v>0.13</v>
      </c>
      <c r="R322">
        <v>0.1</v>
      </c>
      <c r="S322">
        <v>0</v>
      </c>
      <c r="T322" s="15">
        <f t="shared" si="13"/>
        <v>7.6999999999999999E-2</v>
      </c>
      <c r="U322">
        <v>7.7</v>
      </c>
      <c r="V322">
        <v>20</v>
      </c>
      <c r="W322" s="12">
        <v>6.3</v>
      </c>
      <c r="X322" s="6">
        <v>410</v>
      </c>
      <c r="Y322" s="11">
        <f>VLOOKUP(B322,calculo!$C$5:$D$29,2,FALSE)</f>
        <v>0.10917839377844163</v>
      </c>
      <c r="Z322" s="11">
        <f>VLOOKUP(B322,calculo!$C$5:$E$29,3,FALSE)</f>
        <v>0.11988699614535592</v>
      </c>
      <c r="AA322" s="12">
        <f t="shared" si="14"/>
        <v>391.20879120879124</v>
      </c>
    </row>
    <row r="323" spans="1:27">
      <c r="A323">
        <v>2011</v>
      </c>
      <c r="B323" s="13" t="s">
        <v>62</v>
      </c>
      <c r="C323" s="13" t="s">
        <v>48</v>
      </c>
      <c r="D323" s="12">
        <v>15.8</v>
      </c>
      <c r="E323" s="17">
        <f t="shared" ref="E323:E386" si="15">D323*1000</f>
        <v>15800</v>
      </c>
      <c r="F323" s="12">
        <v>1425</v>
      </c>
      <c r="G323" s="7">
        <v>44.3</v>
      </c>
      <c r="H323" s="7">
        <v>135.5</v>
      </c>
      <c r="I323" s="12">
        <v>44.2</v>
      </c>
      <c r="J323" s="13" t="s">
        <v>35</v>
      </c>
      <c r="K323" s="13" t="s">
        <v>32</v>
      </c>
      <c r="L323">
        <v>101</v>
      </c>
      <c r="M323">
        <v>29694</v>
      </c>
      <c r="N323" s="15">
        <f>O323/100</f>
        <v>0.56700000000000006</v>
      </c>
      <c r="O323" s="14">
        <v>56.7</v>
      </c>
      <c r="P323">
        <v>31.9</v>
      </c>
      <c r="Q323">
        <v>0.06</v>
      </c>
      <c r="R323">
        <v>0.16</v>
      </c>
      <c r="S323">
        <v>0</v>
      </c>
      <c r="T323" s="15">
        <f t="shared" ref="T323:T386" si="16">U323/100</f>
        <v>0.122</v>
      </c>
      <c r="U323">
        <v>12.2</v>
      </c>
      <c r="V323">
        <v>23</v>
      </c>
      <c r="W323" s="12">
        <v>33.1</v>
      </c>
      <c r="X323" s="6">
        <v>297</v>
      </c>
      <c r="Y323" s="11">
        <f>VLOOKUP(B323,calculo!$C$5:$D$29,2,FALSE)</f>
        <v>0.10917839377844163</v>
      </c>
      <c r="Z323" s="11">
        <f>VLOOKUP(B323,calculo!$C$5:$E$29,3,FALSE)</f>
        <v>0.11988699614535592</v>
      </c>
      <c r="AA323" s="12">
        <f t="shared" ref="AA323:AA386" si="17">E323/G323</f>
        <v>356.65914221218964</v>
      </c>
    </row>
    <row r="324" spans="1:27">
      <c r="A324">
        <v>2012</v>
      </c>
      <c r="B324" s="13" t="s">
        <v>62</v>
      </c>
      <c r="C324" s="13" t="s">
        <v>48</v>
      </c>
      <c r="D324" s="12">
        <v>17.52</v>
      </c>
      <c r="E324" s="17">
        <f t="shared" si="15"/>
        <v>17520</v>
      </c>
      <c r="F324" s="12">
        <v>1025.2</v>
      </c>
      <c r="G324" s="7">
        <v>33.799999999999997</v>
      </c>
      <c r="H324" s="7">
        <v>76.5</v>
      </c>
      <c r="I324" s="12">
        <v>102.9</v>
      </c>
      <c r="J324" s="13" t="s">
        <v>35</v>
      </c>
      <c r="K324" s="13" t="s">
        <v>32</v>
      </c>
      <c r="L324">
        <v>95</v>
      </c>
      <c r="M324">
        <v>13110</v>
      </c>
      <c r="N324" s="15">
        <f>O324/100</f>
        <v>0.53600000000000003</v>
      </c>
      <c r="O324" s="14">
        <v>53.6</v>
      </c>
      <c r="P324">
        <v>87.2</v>
      </c>
      <c r="Q324">
        <v>0.13</v>
      </c>
      <c r="R324">
        <v>0.22</v>
      </c>
      <c r="S324">
        <v>0</v>
      </c>
      <c r="T324" s="15">
        <f t="shared" si="16"/>
        <v>0.18899999999999997</v>
      </c>
      <c r="U324">
        <v>18.899999999999999</v>
      </c>
      <c r="V324">
        <v>26</v>
      </c>
      <c r="W324" s="12">
        <v>23.5</v>
      </c>
      <c r="X324" s="6">
        <v>63</v>
      </c>
      <c r="Y324" s="11">
        <f>VLOOKUP(B324,calculo!$C$5:$D$29,2,FALSE)</f>
        <v>0.10917839377844163</v>
      </c>
      <c r="Z324" s="11">
        <f>VLOOKUP(B324,calculo!$C$5:$E$29,3,FALSE)</f>
        <v>0.11988699614535592</v>
      </c>
      <c r="AA324" s="12">
        <f t="shared" si="17"/>
        <v>518.34319526627223</v>
      </c>
    </row>
    <row r="325" spans="1:27">
      <c r="A325">
        <v>2013</v>
      </c>
      <c r="B325" s="13" t="s">
        <v>62</v>
      </c>
      <c r="C325" s="13" t="s">
        <v>48</v>
      </c>
      <c r="D325" s="12">
        <v>19.440000000000001</v>
      </c>
      <c r="E325" s="17">
        <f t="shared" si="15"/>
        <v>19440</v>
      </c>
      <c r="F325" s="12">
        <v>2669.6</v>
      </c>
      <c r="G325" s="7">
        <v>59.7</v>
      </c>
      <c r="H325" s="7">
        <v>159.19999999999999</v>
      </c>
      <c r="I325" s="12">
        <v>127.5</v>
      </c>
      <c r="J325" s="13" t="s">
        <v>35</v>
      </c>
      <c r="K325" s="13" t="s">
        <v>30</v>
      </c>
      <c r="L325">
        <v>62</v>
      </c>
      <c r="M325">
        <v>14260</v>
      </c>
      <c r="N325" s="15">
        <f>O325/100</f>
        <v>0.80299999999999994</v>
      </c>
      <c r="O325" s="14">
        <v>80.3</v>
      </c>
      <c r="P325">
        <v>76.2</v>
      </c>
      <c r="Q325">
        <v>0.17</v>
      </c>
      <c r="R325">
        <v>0.28000000000000003</v>
      </c>
      <c r="S325">
        <v>0</v>
      </c>
      <c r="T325" s="15">
        <f t="shared" si="16"/>
        <v>0.1</v>
      </c>
      <c r="U325">
        <v>10</v>
      </c>
      <c r="V325">
        <v>29</v>
      </c>
      <c r="W325" s="12">
        <v>14</v>
      </c>
      <c r="X325" s="6">
        <v>38</v>
      </c>
      <c r="Y325" s="11">
        <f>VLOOKUP(B325,calculo!$C$5:$D$29,2,FALSE)</f>
        <v>0.10917839377844163</v>
      </c>
      <c r="Z325" s="11">
        <f>VLOOKUP(B325,calculo!$C$5:$E$29,3,FALSE)</f>
        <v>0.11988699614535592</v>
      </c>
      <c r="AA325" s="12">
        <f t="shared" si="17"/>
        <v>325.62814070351754</v>
      </c>
    </row>
    <row r="326" spans="1:27">
      <c r="A326">
        <v>2014</v>
      </c>
      <c r="B326" s="13" t="s">
        <v>62</v>
      </c>
      <c r="C326" s="13" t="s">
        <v>48</v>
      </c>
      <c r="D326" s="12">
        <v>21.56</v>
      </c>
      <c r="E326" s="17">
        <f t="shared" si="15"/>
        <v>21560</v>
      </c>
      <c r="F326" s="12">
        <v>2669.8</v>
      </c>
      <c r="G326" s="7">
        <v>40.700000000000003</v>
      </c>
      <c r="H326" s="7">
        <v>70.7</v>
      </c>
      <c r="I326" s="12">
        <v>98.7</v>
      </c>
      <c r="J326" s="13" t="s">
        <v>34</v>
      </c>
      <c r="K326" s="13" t="s">
        <v>30</v>
      </c>
      <c r="L326">
        <v>24</v>
      </c>
      <c r="M326">
        <v>2928</v>
      </c>
      <c r="N326" s="15">
        <f>O326/100</f>
        <v>0.94799999999999995</v>
      </c>
      <c r="O326" s="14">
        <v>94.8</v>
      </c>
      <c r="P326">
        <v>31.9</v>
      </c>
      <c r="Q326">
        <v>0.05</v>
      </c>
      <c r="R326">
        <v>0.34</v>
      </c>
      <c r="S326">
        <v>0</v>
      </c>
      <c r="T326" s="15">
        <f t="shared" si="16"/>
        <v>0.19500000000000001</v>
      </c>
      <c r="U326">
        <v>19.5</v>
      </c>
      <c r="V326">
        <v>32</v>
      </c>
      <c r="W326" s="12">
        <v>8.4</v>
      </c>
      <c r="X326" s="6">
        <v>180</v>
      </c>
      <c r="Y326" s="11">
        <f>VLOOKUP(B326,calculo!$C$5:$D$29,2,FALSE)</f>
        <v>0.10917839377844163</v>
      </c>
      <c r="Z326" s="11">
        <f>VLOOKUP(B326,calculo!$C$5:$E$29,3,FALSE)</f>
        <v>0.11988699614535592</v>
      </c>
      <c r="AA326" s="12">
        <f t="shared" si="17"/>
        <v>529.72972972972968</v>
      </c>
    </row>
    <row r="327" spans="1:27">
      <c r="A327">
        <v>2015</v>
      </c>
      <c r="B327" s="13" t="s">
        <v>62</v>
      </c>
      <c r="C327" s="13" t="s">
        <v>48</v>
      </c>
      <c r="D327" s="12">
        <v>23.91</v>
      </c>
      <c r="E327" s="17">
        <f t="shared" si="15"/>
        <v>23910</v>
      </c>
      <c r="F327" s="12">
        <v>2671</v>
      </c>
      <c r="G327" s="7">
        <v>51.3</v>
      </c>
      <c r="H327" s="7">
        <v>97.1</v>
      </c>
      <c r="I327" s="12">
        <v>45.1</v>
      </c>
      <c r="J327" s="13" t="s">
        <v>33</v>
      </c>
      <c r="K327" s="13" t="s">
        <v>32</v>
      </c>
      <c r="L327">
        <v>46</v>
      </c>
      <c r="M327">
        <v>6394</v>
      </c>
      <c r="N327" s="15">
        <f>O327/100</f>
        <v>0.76400000000000001</v>
      </c>
      <c r="O327" s="14">
        <v>76.400000000000006</v>
      </c>
      <c r="P327">
        <v>65.599999999999994</v>
      </c>
      <c r="Q327">
        <v>0.08</v>
      </c>
      <c r="R327">
        <v>0.4</v>
      </c>
      <c r="S327">
        <v>0</v>
      </c>
      <c r="T327" s="15">
        <f t="shared" si="16"/>
        <v>0.14899999999999999</v>
      </c>
      <c r="U327">
        <v>14.9</v>
      </c>
      <c r="V327">
        <v>35</v>
      </c>
      <c r="W327" s="12">
        <v>8.1</v>
      </c>
      <c r="X327" s="6">
        <v>29</v>
      </c>
      <c r="Y327" s="11">
        <f>VLOOKUP(B327,calculo!$C$5:$D$29,2,FALSE)</f>
        <v>0.10917839377844163</v>
      </c>
      <c r="Z327" s="11">
        <f>VLOOKUP(B327,calculo!$C$5:$E$29,3,FALSE)</f>
        <v>0.11988699614535592</v>
      </c>
      <c r="AA327" s="12">
        <f t="shared" si="17"/>
        <v>466.08187134502924</v>
      </c>
    </row>
    <row r="328" spans="1:27">
      <c r="A328">
        <v>2016</v>
      </c>
      <c r="B328" s="13" t="s">
        <v>62</v>
      </c>
      <c r="C328" s="13" t="s">
        <v>48</v>
      </c>
      <c r="D328" s="12">
        <v>26.52</v>
      </c>
      <c r="E328" s="17">
        <f t="shared" si="15"/>
        <v>26520</v>
      </c>
      <c r="F328" s="12">
        <v>3913</v>
      </c>
      <c r="G328" s="7">
        <v>29.5</v>
      </c>
      <c r="H328" s="7">
        <v>48.2</v>
      </c>
      <c r="I328" s="12">
        <v>35.799999999999997</v>
      </c>
      <c r="J328" s="13" t="s">
        <v>33</v>
      </c>
      <c r="K328" s="13" t="s">
        <v>32</v>
      </c>
      <c r="L328">
        <v>46</v>
      </c>
      <c r="M328">
        <v>9384</v>
      </c>
      <c r="N328" s="15">
        <f>O328/100</f>
        <v>0.622</v>
      </c>
      <c r="O328" s="14">
        <v>62.2</v>
      </c>
      <c r="P328">
        <v>54.9</v>
      </c>
      <c r="Q328">
        <v>0.23</v>
      </c>
      <c r="R328">
        <v>0.46</v>
      </c>
      <c r="S328">
        <v>0</v>
      </c>
      <c r="T328" s="15">
        <f t="shared" si="16"/>
        <v>0.20899999999999999</v>
      </c>
      <c r="U328">
        <v>20.9</v>
      </c>
      <c r="V328">
        <v>38</v>
      </c>
      <c r="W328" s="12">
        <v>17.600000000000001</v>
      </c>
      <c r="X328" s="6">
        <v>381</v>
      </c>
      <c r="Y328" s="11">
        <f>VLOOKUP(B328,calculo!$C$5:$D$29,2,FALSE)</f>
        <v>0.10917839377844163</v>
      </c>
      <c r="Z328" s="11">
        <f>VLOOKUP(B328,calculo!$C$5:$E$29,3,FALSE)</f>
        <v>0.11988699614535592</v>
      </c>
      <c r="AA328" s="12">
        <f t="shared" si="17"/>
        <v>898.98305084745766</v>
      </c>
    </row>
    <row r="329" spans="1:27">
      <c r="A329">
        <v>2017</v>
      </c>
      <c r="B329" s="13" t="s">
        <v>62</v>
      </c>
      <c r="C329" s="13" t="s">
        <v>48</v>
      </c>
      <c r="D329" s="12">
        <v>29.42</v>
      </c>
      <c r="E329" s="17">
        <f t="shared" si="15"/>
        <v>29420</v>
      </c>
      <c r="F329" s="12">
        <v>4112.1000000000004</v>
      </c>
      <c r="G329" s="7">
        <v>49</v>
      </c>
      <c r="H329" s="7">
        <v>130.6</v>
      </c>
      <c r="I329" s="12">
        <v>117.6</v>
      </c>
      <c r="J329" s="13" t="s">
        <v>31</v>
      </c>
      <c r="K329" s="13" t="s">
        <v>36</v>
      </c>
      <c r="L329">
        <v>11</v>
      </c>
      <c r="M329">
        <v>660</v>
      </c>
      <c r="N329" s="15">
        <f>O329/100</f>
        <v>0.81499999999999995</v>
      </c>
      <c r="O329" s="14">
        <v>81.5</v>
      </c>
      <c r="P329">
        <v>82.8</v>
      </c>
      <c r="Q329">
        <v>0.31</v>
      </c>
      <c r="R329">
        <v>0.52</v>
      </c>
      <c r="S329">
        <v>0</v>
      </c>
      <c r="T329" s="15">
        <f t="shared" si="16"/>
        <v>0.18600000000000003</v>
      </c>
      <c r="U329">
        <v>18.600000000000001</v>
      </c>
      <c r="V329">
        <v>41</v>
      </c>
      <c r="W329" s="12">
        <v>4.0999999999999996</v>
      </c>
      <c r="X329" s="6">
        <v>149</v>
      </c>
      <c r="Y329" s="11">
        <f>VLOOKUP(B329,calculo!$C$5:$D$29,2,FALSE)</f>
        <v>0.10917839377844163</v>
      </c>
      <c r="Z329" s="11">
        <f>VLOOKUP(B329,calculo!$C$5:$E$29,3,FALSE)</f>
        <v>0.11988699614535592</v>
      </c>
      <c r="AA329" s="12">
        <f t="shared" si="17"/>
        <v>600.40816326530614</v>
      </c>
    </row>
    <row r="330" spans="1:27">
      <c r="A330">
        <v>2018</v>
      </c>
      <c r="B330" s="13" t="s">
        <v>62</v>
      </c>
      <c r="C330" s="13" t="s">
        <v>48</v>
      </c>
      <c r="D330" s="12">
        <v>32.630000000000003</v>
      </c>
      <c r="E330" s="17">
        <f t="shared" si="15"/>
        <v>32630.000000000004</v>
      </c>
      <c r="F330" s="12">
        <v>1699.6</v>
      </c>
      <c r="G330" s="7">
        <v>20.3</v>
      </c>
      <c r="H330" s="7">
        <v>32.799999999999997</v>
      </c>
      <c r="I330" s="12">
        <v>122</v>
      </c>
      <c r="J330" s="13" t="s">
        <v>31</v>
      </c>
      <c r="K330" s="13" t="s">
        <v>32</v>
      </c>
      <c r="L330">
        <v>58</v>
      </c>
      <c r="M330">
        <v>13572</v>
      </c>
      <c r="N330" s="15">
        <f>O330/100</f>
        <v>0.91900000000000004</v>
      </c>
      <c r="O330" s="14">
        <v>91.9</v>
      </c>
      <c r="P330">
        <v>75.7</v>
      </c>
      <c r="Q330">
        <v>0.38</v>
      </c>
      <c r="R330">
        <v>0.57999999999999996</v>
      </c>
      <c r="S330">
        <v>0</v>
      </c>
      <c r="T330" s="15">
        <f t="shared" si="16"/>
        <v>0.22800000000000001</v>
      </c>
      <c r="U330">
        <v>22.8</v>
      </c>
      <c r="V330">
        <v>44</v>
      </c>
      <c r="W330" s="12">
        <v>22.7</v>
      </c>
      <c r="X330" s="6">
        <v>131</v>
      </c>
      <c r="Y330" s="11">
        <f>VLOOKUP(B330,calculo!$C$5:$D$29,2,FALSE)</f>
        <v>0.10917839377844163</v>
      </c>
      <c r="Z330" s="11">
        <f>VLOOKUP(B330,calculo!$C$5:$E$29,3,FALSE)</f>
        <v>0.11988699614535592</v>
      </c>
      <c r="AA330" s="12">
        <f t="shared" si="17"/>
        <v>1607.3891625615765</v>
      </c>
    </row>
    <row r="331" spans="1:27">
      <c r="A331">
        <v>2019</v>
      </c>
      <c r="B331" s="13" t="s">
        <v>62</v>
      </c>
      <c r="C331" s="13" t="s">
        <v>48</v>
      </c>
      <c r="D331" s="12">
        <v>36.19</v>
      </c>
      <c r="E331" s="17">
        <f t="shared" si="15"/>
        <v>36190</v>
      </c>
      <c r="F331" s="12">
        <v>2717.3</v>
      </c>
      <c r="G331" s="7">
        <v>9</v>
      </c>
      <c r="H331" s="7">
        <v>24</v>
      </c>
      <c r="I331" s="12">
        <v>146.30000000000001</v>
      </c>
      <c r="J331" s="13" t="s">
        <v>34</v>
      </c>
      <c r="K331" s="13" t="s">
        <v>36</v>
      </c>
      <c r="L331">
        <v>30</v>
      </c>
      <c r="M331">
        <v>6060</v>
      </c>
      <c r="N331" s="15">
        <f>O331/100</f>
        <v>0.72799999999999998</v>
      </c>
      <c r="O331" s="14">
        <v>72.8</v>
      </c>
      <c r="P331">
        <v>37.1</v>
      </c>
      <c r="Q331">
        <v>0.45</v>
      </c>
      <c r="R331">
        <v>0.64</v>
      </c>
      <c r="S331">
        <v>0</v>
      </c>
      <c r="T331" s="15">
        <f t="shared" si="16"/>
        <v>0.247</v>
      </c>
      <c r="U331">
        <v>24.7</v>
      </c>
      <c r="V331">
        <v>47</v>
      </c>
      <c r="W331" s="12">
        <v>5</v>
      </c>
      <c r="X331" s="6">
        <v>295</v>
      </c>
      <c r="Y331" s="11">
        <f>VLOOKUP(B331,calculo!$C$5:$D$29,2,FALSE)</f>
        <v>0.10917839377844163</v>
      </c>
      <c r="Z331" s="11">
        <f>VLOOKUP(B331,calculo!$C$5:$E$29,3,FALSE)</f>
        <v>0.11988699614535592</v>
      </c>
      <c r="AA331" s="12">
        <f t="shared" si="17"/>
        <v>4021.1111111111113</v>
      </c>
    </row>
    <row r="332" spans="1:27">
      <c r="A332">
        <v>2020</v>
      </c>
      <c r="B332" s="13" t="s">
        <v>62</v>
      </c>
      <c r="C332" s="13" t="s">
        <v>48</v>
      </c>
      <c r="D332" s="12">
        <v>40.14</v>
      </c>
      <c r="E332" s="17">
        <f t="shared" si="15"/>
        <v>40140</v>
      </c>
      <c r="F332" s="12">
        <v>2007.7</v>
      </c>
      <c r="G332" s="7">
        <v>37.6</v>
      </c>
      <c r="H332" s="7">
        <v>102.8</v>
      </c>
      <c r="I332" s="12">
        <v>84.9</v>
      </c>
      <c r="J332" s="13" t="s">
        <v>33</v>
      </c>
      <c r="K332" s="13" t="s">
        <v>32</v>
      </c>
      <c r="L332">
        <v>42</v>
      </c>
      <c r="M332">
        <v>4746</v>
      </c>
      <c r="N332" s="15">
        <f>O332/100</f>
        <v>0.79200000000000004</v>
      </c>
      <c r="O332" s="14">
        <v>79.2</v>
      </c>
      <c r="P332">
        <v>96.6</v>
      </c>
      <c r="Q332">
        <v>0.52</v>
      </c>
      <c r="R332">
        <v>1.1000000000000001</v>
      </c>
      <c r="S332">
        <v>0.4</v>
      </c>
      <c r="T332" s="15">
        <f t="shared" si="16"/>
        <v>0.26600000000000001</v>
      </c>
      <c r="U332">
        <v>26.6</v>
      </c>
      <c r="V332">
        <v>50</v>
      </c>
      <c r="W332" s="12">
        <v>14.8</v>
      </c>
      <c r="X332" s="6">
        <v>178</v>
      </c>
      <c r="Y332" s="11">
        <f>VLOOKUP(B332,calculo!$C$5:$D$29,2,FALSE)</f>
        <v>0.10917839377844163</v>
      </c>
      <c r="Z332" s="11">
        <f>VLOOKUP(B332,calculo!$C$5:$E$29,3,FALSE)</f>
        <v>0.11988699614535592</v>
      </c>
      <c r="AA332" s="12">
        <f t="shared" si="17"/>
        <v>1067.5531914893616</v>
      </c>
    </row>
    <row r="333" spans="1:27">
      <c r="A333">
        <v>2021</v>
      </c>
      <c r="B333" s="13" t="s">
        <v>62</v>
      </c>
      <c r="C333" s="13" t="s">
        <v>48</v>
      </c>
      <c r="D333" s="12">
        <v>44.52</v>
      </c>
      <c r="E333" s="17">
        <f t="shared" si="15"/>
        <v>44520</v>
      </c>
      <c r="F333" s="12">
        <v>2721.1</v>
      </c>
      <c r="G333" s="7">
        <v>52.4</v>
      </c>
      <c r="H333" s="7">
        <v>109.7</v>
      </c>
      <c r="I333" s="12">
        <v>49.5</v>
      </c>
      <c r="J333" s="13" t="s">
        <v>31</v>
      </c>
      <c r="K333" s="13" t="s">
        <v>32</v>
      </c>
      <c r="L333">
        <v>64</v>
      </c>
      <c r="M333">
        <v>13504</v>
      </c>
      <c r="N333" s="15">
        <f>O333/100</f>
        <v>0.81400000000000006</v>
      </c>
      <c r="O333" s="14">
        <v>81.400000000000006</v>
      </c>
      <c r="P333">
        <v>41.1</v>
      </c>
      <c r="Q333">
        <v>0.59</v>
      </c>
      <c r="R333">
        <v>1.03</v>
      </c>
      <c r="S333">
        <v>0.27</v>
      </c>
      <c r="T333" s="15">
        <f t="shared" si="16"/>
        <v>0.249</v>
      </c>
      <c r="U333">
        <v>24.9</v>
      </c>
      <c r="V333">
        <v>53</v>
      </c>
      <c r="W333" s="12">
        <v>10.199999999999999</v>
      </c>
      <c r="X333" s="6">
        <v>80</v>
      </c>
      <c r="Y333" s="11">
        <f>VLOOKUP(B333,calculo!$C$5:$D$29,2,FALSE)</f>
        <v>0.10917839377844163</v>
      </c>
      <c r="Z333" s="11">
        <f>VLOOKUP(B333,calculo!$C$5:$E$29,3,FALSE)</f>
        <v>0.11988699614535592</v>
      </c>
      <c r="AA333" s="12">
        <f t="shared" si="17"/>
        <v>849.61832061068708</v>
      </c>
    </row>
    <row r="334" spans="1:27">
      <c r="A334">
        <v>2022</v>
      </c>
      <c r="B334" s="13" t="s">
        <v>62</v>
      </c>
      <c r="C334" s="13" t="s">
        <v>48</v>
      </c>
      <c r="D334" s="12">
        <v>49.38</v>
      </c>
      <c r="E334" s="17">
        <f t="shared" si="15"/>
        <v>49380</v>
      </c>
      <c r="F334" s="12">
        <v>5318.2</v>
      </c>
      <c r="G334" s="7">
        <v>22</v>
      </c>
      <c r="H334" s="7">
        <v>68.5</v>
      </c>
      <c r="I334" s="12">
        <v>94.8</v>
      </c>
      <c r="J334" s="13" t="s">
        <v>35</v>
      </c>
      <c r="K334" s="13" t="s">
        <v>30</v>
      </c>
      <c r="L334">
        <v>47</v>
      </c>
      <c r="M334">
        <v>3572</v>
      </c>
      <c r="N334" s="15">
        <f>O334/100</f>
        <v>0.57700000000000007</v>
      </c>
      <c r="O334" s="14">
        <v>57.7</v>
      </c>
      <c r="P334">
        <v>90.9</v>
      </c>
      <c r="Q334">
        <v>0.71</v>
      </c>
      <c r="R334">
        <v>0.82</v>
      </c>
      <c r="S334">
        <v>0</v>
      </c>
      <c r="T334" s="15">
        <f t="shared" si="16"/>
        <v>0.30499999999999999</v>
      </c>
      <c r="U334">
        <v>30.5</v>
      </c>
      <c r="V334">
        <v>56</v>
      </c>
      <c r="W334" s="12">
        <v>14</v>
      </c>
      <c r="X334" s="6">
        <v>364</v>
      </c>
      <c r="Y334" s="11">
        <f>VLOOKUP(B334,calculo!$C$5:$D$29,2,FALSE)</f>
        <v>0.10917839377844163</v>
      </c>
      <c r="Z334" s="11">
        <f>VLOOKUP(B334,calculo!$C$5:$E$29,3,FALSE)</f>
        <v>0.11988699614535592</v>
      </c>
      <c r="AA334" s="12">
        <f t="shared" si="17"/>
        <v>2244.5454545454545</v>
      </c>
    </row>
    <row r="335" spans="1:27">
      <c r="A335">
        <v>2023</v>
      </c>
      <c r="B335" s="13" t="s">
        <v>62</v>
      </c>
      <c r="C335" s="13" t="s">
        <v>48</v>
      </c>
      <c r="D335" s="12">
        <v>54.77</v>
      </c>
      <c r="E335" s="17">
        <f t="shared" si="15"/>
        <v>54770</v>
      </c>
      <c r="F335" s="12">
        <v>6001.1</v>
      </c>
      <c r="G335" s="7">
        <v>6.7</v>
      </c>
      <c r="H335" s="7">
        <v>22.6</v>
      </c>
      <c r="I335" s="12">
        <v>120.6</v>
      </c>
      <c r="J335" s="13" t="s">
        <v>34</v>
      </c>
      <c r="K335" s="13" t="s">
        <v>30</v>
      </c>
      <c r="L335">
        <v>43</v>
      </c>
      <c r="M335">
        <v>12126</v>
      </c>
      <c r="N335" s="15">
        <f>O335/100</f>
        <v>0.78400000000000003</v>
      </c>
      <c r="O335" s="14">
        <v>78.400000000000006</v>
      </c>
      <c r="P335">
        <v>87.1</v>
      </c>
      <c r="Q335">
        <v>0.73</v>
      </c>
      <c r="R335">
        <v>0.88</v>
      </c>
      <c r="S335">
        <v>0</v>
      </c>
      <c r="T335" s="15">
        <f t="shared" si="16"/>
        <v>0.29399999999999998</v>
      </c>
      <c r="U335">
        <v>29.4</v>
      </c>
      <c r="V335">
        <v>59</v>
      </c>
      <c r="W335" s="12">
        <v>15.4</v>
      </c>
      <c r="X335" s="6">
        <v>27</v>
      </c>
      <c r="Y335" s="11">
        <f>VLOOKUP(B335,calculo!$C$5:$D$29,2,FALSE)</f>
        <v>0.10917839377844163</v>
      </c>
      <c r="Z335" s="11">
        <f>VLOOKUP(B335,calculo!$C$5:$E$29,3,FALSE)</f>
        <v>0.11988699614535592</v>
      </c>
      <c r="AA335" s="12">
        <f t="shared" si="17"/>
        <v>8174.626865671642</v>
      </c>
    </row>
    <row r="336" spans="1:27">
      <c r="A336">
        <v>2024</v>
      </c>
      <c r="B336" s="13" t="s">
        <v>62</v>
      </c>
      <c r="C336" s="13" t="s">
        <v>48</v>
      </c>
      <c r="D336" s="12">
        <v>60.75</v>
      </c>
      <c r="E336" s="17">
        <f t="shared" si="15"/>
        <v>60750</v>
      </c>
      <c r="F336" s="12">
        <v>7159.3</v>
      </c>
      <c r="G336" s="7">
        <v>20.7</v>
      </c>
      <c r="H336" s="7">
        <v>72.099999999999994</v>
      </c>
      <c r="I336" s="12">
        <v>69.099999999999994</v>
      </c>
      <c r="J336" s="13" t="s">
        <v>34</v>
      </c>
      <c r="K336" s="13" t="s">
        <v>36</v>
      </c>
      <c r="L336">
        <v>10</v>
      </c>
      <c r="M336">
        <v>1190</v>
      </c>
      <c r="N336" s="15">
        <f>O336/100</f>
        <v>0.69</v>
      </c>
      <c r="O336" s="14">
        <v>69</v>
      </c>
      <c r="P336">
        <v>99.7</v>
      </c>
      <c r="Q336">
        <v>0.77</v>
      </c>
      <c r="R336">
        <v>0.94</v>
      </c>
      <c r="S336">
        <v>0</v>
      </c>
      <c r="T336" s="15">
        <f t="shared" si="16"/>
        <v>0.32100000000000001</v>
      </c>
      <c r="U336">
        <v>32.1</v>
      </c>
      <c r="V336">
        <v>62</v>
      </c>
      <c r="W336" s="12">
        <v>3</v>
      </c>
      <c r="X336" s="6">
        <v>39</v>
      </c>
      <c r="Y336" s="11">
        <f>VLOOKUP(B336,calculo!$C$5:$D$29,2,FALSE)</f>
        <v>0.10917839377844163</v>
      </c>
      <c r="Z336" s="11">
        <f>VLOOKUP(B336,calculo!$C$5:$E$29,3,FALSE)</f>
        <v>0.11988699614535592</v>
      </c>
      <c r="AA336" s="12">
        <f t="shared" si="17"/>
        <v>2934.7826086956525</v>
      </c>
    </row>
    <row r="337" spans="1:27">
      <c r="A337">
        <v>2025</v>
      </c>
      <c r="B337" s="13" t="s">
        <v>62</v>
      </c>
      <c r="C337" s="13" t="s">
        <v>48</v>
      </c>
      <c r="D337" s="12">
        <v>67.38</v>
      </c>
      <c r="E337" s="17">
        <f t="shared" si="15"/>
        <v>67380</v>
      </c>
      <c r="F337" s="12">
        <v>8824.7999999999993</v>
      </c>
      <c r="G337" s="7">
        <v>57.1</v>
      </c>
      <c r="H337" s="7">
        <v>88.2</v>
      </c>
      <c r="I337" s="12">
        <v>147.9</v>
      </c>
      <c r="J337" s="13" t="s">
        <v>35</v>
      </c>
      <c r="K337" s="13" t="s">
        <v>32</v>
      </c>
      <c r="L337">
        <v>25</v>
      </c>
      <c r="M337">
        <v>3125</v>
      </c>
      <c r="N337" s="15">
        <f>O337/100</f>
        <v>0.55899999999999994</v>
      </c>
      <c r="O337" s="14">
        <v>55.9</v>
      </c>
      <c r="P337">
        <v>58</v>
      </c>
      <c r="Q337">
        <v>0.89</v>
      </c>
      <c r="R337">
        <v>1</v>
      </c>
      <c r="S337">
        <v>0</v>
      </c>
      <c r="T337" s="15">
        <f t="shared" si="16"/>
        <v>0.39100000000000001</v>
      </c>
      <c r="U337">
        <v>39.1</v>
      </c>
      <c r="V337">
        <v>65</v>
      </c>
      <c r="W337" s="12">
        <v>8.8000000000000007</v>
      </c>
      <c r="X337" s="6">
        <v>189</v>
      </c>
      <c r="Y337" s="11">
        <f>VLOOKUP(B337,calculo!$C$5:$D$29,2,FALSE)</f>
        <v>0.10917839377844163</v>
      </c>
      <c r="Z337" s="11">
        <f>VLOOKUP(B337,calculo!$C$5:$E$29,3,FALSE)</f>
        <v>0.11988699614535592</v>
      </c>
      <c r="AA337" s="12">
        <f t="shared" si="17"/>
        <v>1180.0350262697023</v>
      </c>
    </row>
    <row r="338" spans="1:27">
      <c r="A338">
        <v>2010</v>
      </c>
      <c r="B338" s="13" t="s">
        <v>63</v>
      </c>
      <c r="C338" s="13" t="s">
        <v>46</v>
      </c>
      <c r="D338" s="12">
        <v>1.34</v>
      </c>
      <c r="E338" s="17">
        <f t="shared" si="15"/>
        <v>1340</v>
      </c>
      <c r="F338" s="12">
        <v>128.30000000000001</v>
      </c>
      <c r="G338" s="7">
        <v>45.6</v>
      </c>
      <c r="H338" s="7">
        <v>151.1</v>
      </c>
      <c r="I338" s="12">
        <v>130.19999999999999</v>
      </c>
      <c r="J338" s="13" t="s">
        <v>34</v>
      </c>
      <c r="K338" s="13" t="s">
        <v>30</v>
      </c>
      <c r="L338">
        <v>99</v>
      </c>
      <c r="M338">
        <v>16929</v>
      </c>
      <c r="N338" s="15">
        <f>O338/100</f>
        <v>0.61899999999999999</v>
      </c>
      <c r="O338" s="14">
        <v>61.9</v>
      </c>
      <c r="P338">
        <v>62.8</v>
      </c>
      <c r="Q338">
        <v>0.09</v>
      </c>
      <c r="R338">
        <v>0.1</v>
      </c>
      <c r="S338">
        <v>0</v>
      </c>
      <c r="T338" s="15">
        <f t="shared" si="16"/>
        <v>9.5000000000000001E-2</v>
      </c>
      <c r="U338">
        <v>9.5</v>
      </c>
      <c r="V338">
        <v>20</v>
      </c>
      <c r="W338" s="12">
        <v>25.8</v>
      </c>
      <c r="X338" s="6">
        <v>481</v>
      </c>
      <c r="Y338" s="11">
        <f>VLOOKUP(B338,calculo!$C$5:$D$29,2,FALSE)</f>
        <v>7.3080164305395545E-2</v>
      </c>
      <c r="Z338" s="11">
        <f>VLOOKUP(B338,calculo!$C$5:$E$29,3,FALSE)</f>
        <v>7.1539348228604194E-2</v>
      </c>
      <c r="AA338" s="12">
        <f t="shared" si="17"/>
        <v>29.385964912280702</v>
      </c>
    </row>
    <row r="339" spans="1:27">
      <c r="A339">
        <v>2011</v>
      </c>
      <c r="B339" s="13" t="s">
        <v>63</v>
      </c>
      <c r="C339" s="13" t="s">
        <v>46</v>
      </c>
      <c r="D339" s="12">
        <v>1.44</v>
      </c>
      <c r="E339" s="17">
        <f t="shared" si="15"/>
        <v>1440</v>
      </c>
      <c r="F339" s="12">
        <v>162.4</v>
      </c>
      <c r="G339" s="7">
        <v>47.5</v>
      </c>
      <c r="H339" s="7">
        <v>128.1</v>
      </c>
      <c r="I339" s="12">
        <v>79.7</v>
      </c>
      <c r="J339" s="13" t="s">
        <v>31</v>
      </c>
      <c r="K339" s="13" t="s">
        <v>32</v>
      </c>
      <c r="L339">
        <v>20</v>
      </c>
      <c r="M339">
        <v>2880</v>
      </c>
      <c r="N339" s="15">
        <f>O339/100</f>
        <v>0.78200000000000003</v>
      </c>
      <c r="O339" s="14">
        <v>78.2</v>
      </c>
      <c r="P339">
        <v>67.900000000000006</v>
      </c>
      <c r="Q339">
        <v>0.16</v>
      </c>
      <c r="R339">
        <v>0.16</v>
      </c>
      <c r="S339">
        <v>0</v>
      </c>
      <c r="T339" s="15">
        <f t="shared" si="16"/>
        <v>0.121</v>
      </c>
      <c r="U339">
        <v>12.1</v>
      </c>
      <c r="V339">
        <v>23</v>
      </c>
      <c r="W339" s="12">
        <v>5.7</v>
      </c>
      <c r="X339" s="6">
        <v>438</v>
      </c>
      <c r="Y339" s="11">
        <f>VLOOKUP(B339,calculo!$C$5:$D$29,2,FALSE)</f>
        <v>7.3080164305395545E-2</v>
      </c>
      <c r="Z339" s="11">
        <f>VLOOKUP(B339,calculo!$C$5:$E$29,3,FALSE)</f>
        <v>7.1539348228604194E-2</v>
      </c>
      <c r="AA339" s="12">
        <f t="shared" si="17"/>
        <v>30.315789473684209</v>
      </c>
    </row>
    <row r="340" spans="1:27">
      <c r="A340">
        <v>2012</v>
      </c>
      <c r="B340" s="13" t="s">
        <v>63</v>
      </c>
      <c r="C340" s="13" t="s">
        <v>46</v>
      </c>
      <c r="D340" s="12">
        <v>1.54</v>
      </c>
      <c r="E340" s="17">
        <f t="shared" si="15"/>
        <v>1540</v>
      </c>
      <c r="F340" s="12">
        <v>198.4</v>
      </c>
      <c r="G340" s="7">
        <v>18.399999999999999</v>
      </c>
      <c r="H340" s="7">
        <v>58.5</v>
      </c>
      <c r="I340" s="12">
        <v>95.2</v>
      </c>
      <c r="J340" s="13" t="s">
        <v>34</v>
      </c>
      <c r="K340" s="13" t="s">
        <v>32</v>
      </c>
      <c r="L340">
        <v>19</v>
      </c>
      <c r="M340">
        <v>4712</v>
      </c>
      <c r="N340" s="15">
        <f>O340/100</f>
        <v>0.83400000000000007</v>
      </c>
      <c r="O340" s="14">
        <v>83.4</v>
      </c>
      <c r="P340">
        <v>43.3</v>
      </c>
      <c r="Q340">
        <v>0.12</v>
      </c>
      <c r="R340">
        <v>0.22</v>
      </c>
      <c r="S340">
        <v>0</v>
      </c>
      <c r="T340" s="15">
        <f t="shared" si="16"/>
        <v>0.14199999999999999</v>
      </c>
      <c r="U340">
        <v>14.2</v>
      </c>
      <c r="V340">
        <v>26</v>
      </c>
      <c r="W340" s="12">
        <v>4.9000000000000004</v>
      </c>
      <c r="X340" s="6">
        <v>44</v>
      </c>
      <c r="Y340" s="11">
        <f>VLOOKUP(B340,calculo!$C$5:$D$29,2,FALSE)</f>
        <v>7.3080164305395545E-2</v>
      </c>
      <c r="Z340" s="11">
        <f>VLOOKUP(B340,calculo!$C$5:$E$29,3,FALSE)</f>
        <v>7.1539348228604194E-2</v>
      </c>
      <c r="AA340" s="12">
        <f t="shared" si="17"/>
        <v>83.695652173913047</v>
      </c>
    </row>
    <row r="341" spans="1:27">
      <c r="A341">
        <v>2013</v>
      </c>
      <c r="B341" s="13" t="s">
        <v>63</v>
      </c>
      <c r="C341" s="13" t="s">
        <v>46</v>
      </c>
      <c r="D341" s="12">
        <v>1.65</v>
      </c>
      <c r="E341" s="17">
        <f t="shared" si="15"/>
        <v>1650</v>
      </c>
      <c r="F341" s="12">
        <v>167.3</v>
      </c>
      <c r="G341" s="7">
        <v>30</v>
      </c>
      <c r="H341" s="7">
        <v>68</v>
      </c>
      <c r="I341" s="12">
        <v>130.69999999999999</v>
      </c>
      <c r="J341" s="13" t="s">
        <v>29</v>
      </c>
      <c r="K341" s="13" t="s">
        <v>32</v>
      </c>
      <c r="L341">
        <v>88</v>
      </c>
      <c r="M341">
        <v>19712</v>
      </c>
      <c r="N341" s="15">
        <f>O341/100</f>
        <v>0.53200000000000003</v>
      </c>
      <c r="O341" s="14">
        <v>53.2</v>
      </c>
      <c r="P341">
        <v>68</v>
      </c>
      <c r="Q341">
        <v>0.09</v>
      </c>
      <c r="R341">
        <v>0.28000000000000003</v>
      </c>
      <c r="S341">
        <v>0</v>
      </c>
      <c r="T341" s="15">
        <f t="shared" si="16"/>
        <v>0.13900000000000001</v>
      </c>
      <c r="U341">
        <v>13.9</v>
      </c>
      <c r="V341">
        <v>29</v>
      </c>
      <c r="W341" s="12">
        <v>24.3</v>
      </c>
      <c r="X341" s="6">
        <v>342</v>
      </c>
      <c r="Y341" s="11">
        <f>VLOOKUP(B341,calculo!$C$5:$D$29,2,FALSE)</f>
        <v>7.3080164305395545E-2</v>
      </c>
      <c r="Z341" s="11">
        <f>VLOOKUP(B341,calculo!$C$5:$E$29,3,FALSE)</f>
        <v>7.1539348228604194E-2</v>
      </c>
      <c r="AA341" s="12">
        <f t="shared" si="17"/>
        <v>55</v>
      </c>
    </row>
    <row r="342" spans="1:27">
      <c r="A342">
        <v>2014</v>
      </c>
      <c r="B342" s="13" t="s">
        <v>63</v>
      </c>
      <c r="C342" s="13" t="s">
        <v>46</v>
      </c>
      <c r="D342" s="12">
        <v>1.77</v>
      </c>
      <c r="E342" s="17">
        <f t="shared" si="15"/>
        <v>1770</v>
      </c>
      <c r="F342" s="12">
        <v>251.6</v>
      </c>
      <c r="G342" s="7">
        <v>47.1</v>
      </c>
      <c r="H342" s="7">
        <v>148.19999999999999</v>
      </c>
      <c r="I342" s="12">
        <v>138.30000000000001</v>
      </c>
      <c r="J342" s="13" t="s">
        <v>33</v>
      </c>
      <c r="K342" s="13" t="s">
        <v>32</v>
      </c>
      <c r="L342">
        <v>117</v>
      </c>
      <c r="M342">
        <v>32526</v>
      </c>
      <c r="N342" s="15">
        <f>O342/100</f>
        <v>0.76500000000000001</v>
      </c>
      <c r="O342" s="14">
        <v>76.5</v>
      </c>
      <c r="P342">
        <v>59.1</v>
      </c>
      <c r="Q342">
        <v>7.0000000000000007E-2</v>
      </c>
      <c r="R342">
        <v>0.34</v>
      </c>
      <c r="S342">
        <v>0</v>
      </c>
      <c r="T342" s="15">
        <f t="shared" si="16"/>
        <v>0.16</v>
      </c>
      <c r="U342">
        <v>16</v>
      </c>
      <c r="V342">
        <v>32</v>
      </c>
      <c r="W342" s="12">
        <v>30.7</v>
      </c>
      <c r="X342" s="6">
        <v>378</v>
      </c>
      <c r="Y342" s="11">
        <f>VLOOKUP(B342,calculo!$C$5:$D$29,2,FALSE)</f>
        <v>7.3080164305395545E-2</v>
      </c>
      <c r="Z342" s="11">
        <f>VLOOKUP(B342,calculo!$C$5:$E$29,3,FALSE)</f>
        <v>7.1539348228604194E-2</v>
      </c>
      <c r="AA342" s="12">
        <f t="shared" si="17"/>
        <v>37.579617834394902</v>
      </c>
    </row>
    <row r="343" spans="1:27">
      <c r="A343">
        <v>2015</v>
      </c>
      <c r="B343" s="13" t="s">
        <v>63</v>
      </c>
      <c r="C343" s="13" t="s">
        <v>46</v>
      </c>
      <c r="D343" s="12">
        <v>1.91</v>
      </c>
      <c r="E343" s="17">
        <f t="shared" si="15"/>
        <v>1910</v>
      </c>
      <c r="F343" s="12">
        <v>163.5</v>
      </c>
      <c r="G343" s="7">
        <v>59.4</v>
      </c>
      <c r="H343" s="7">
        <v>170.4</v>
      </c>
      <c r="I343" s="12">
        <v>143.9</v>
      </c>
      <c r="J343" s="13" t="s">
        <v>31</v>
      </c>
      <c r="K343" s="13" t="s">
        <v>30</v>
      </c>
      <c r="L343">
        <v>22</v>
      </c>
      <c r="M343">
        <v>5258</v>
      </c>
      <c r="N343" s="15">
        <f>O343/100</f>
        <v>0.80299999999999994</v>
      </c>
      <c r="O343" s="14">
        <v>80.3</v>
      </c>
      <c r="P343">
        <v>37.700000000000003</v>
      </c>
      <c r="Q343">
        <v>0.02</v>
      </c>
      <c r="R343">
        <v>0.4</v>
      </c>
      <c r="S343">
        <v>0</v>
      </c>
      <c r="T343" s="15">
        <f t="shared" si="16"/>
        <v>0.18600000000000003</v>
      </c>
      <c r="U343">
        <v>18.600000000000001</v>
      </c>
      <c r="V343">
        <v>35</v>
      </c>
      <c r="W343" s="12">
        <v>5.4</v>
      </c>
      <c r="X343" s="6">
        <v>101</v>
      </c>
      <c r="Y343" s="11">
        <f>VLOOKUP(B343,calculo!$C$5:$D$29,2,FALSE)</f>
        <v>7.3080164305395545E-2</v>
      </c>
      <c r="Z343" s="11">
        <f>VLOOKUP(B343,calculo!$C$5:$E$29,3,FALSE)</f>
        <v>7.1539348228604194E-2</v>
      </c>
      <c r="AA343" s="12">
        <f t="shared" si="17"/>
        <v>32.154882154882152</v>
      </c>
    </row>
    <row r="344" spans="1:27">
      <c r="A344">
        <v>2016</v>
      </c>
      <c r="B344" s="13" t="s">
        <v>63</v>
      </c>
      <c r="C344" s="13" t="s">
        <v>46</v>
      </c>
      <c r="D344" s="12">
        <v>2.04</v>
      </c>
      <c r="E344" s="17">
        <f t="shared" si="15"/>
        <v>2040</v>
      </c>
      <c r="F344" s="12">
        <v>202.3</v>
      </c>
      <c r="G344" s="7">
        <v>26.1</v>
      </c>
      <c r="H344" s="7">
        <v>40.4</v>
      </c>
      <c r="I344" s="12">
        <v>70.2</v>
      </c>
      <c r="J344" s="13" t="s">
        <v>34</v>
      </c>
      <c r="K344" s="13" t="s">
        <v>30</v>
      </c>
      <c r="L344">
        <v>50</v>
      </c>
      <c r="M344">
        <v>14900</v>
      </c>
      <c r="N344" s="15">
        <f>O344/100</f>
        <v>0.77</v>
      </c>
      <c r="O344" s="14">
        <v>77</v>
      </c>
      <c r="P344">
        <v>79.599999999999994</v>
      </c>
      <c r="Q344">
        <v>0.12</v>
      </c>
      <c r="R344">
        <v>0.46</v>
      </c>
      <c r="S344">
        <v>0</v>
      </c>
      <c r="T344" s="15">
        <f t="shared" si="16"/>
        <v>0.23499999999999999</v>
      </c>
      <c r="U344">
        <v>23.5</v>
      </c>
      <c r="V344">
        <v>38</v>
      </c>
      <c r="W344" s="12">
        <v>8.6999999999999993</v>
      </c>
      <c r="X344" s="6">
        <v>441</v>
      </c>
      <c r="Y344" s="11">
        <f>VLOOKUP(B344,calculo!$C$5:$D$29,2,FALSE)</f>
        <v>7.3080164305395545E-2</v>
      </c>
      <c r="Z344" s="11">
        <f>VLOOKUP(B344,calculo!$C$5:$E$29,3,FALSE)</f>
        <v>7.1539348228604194E-2</v>
      </c>
      <c r="AA344" s="12">
        <f t="shared" si="17"/>
        <v>78.160919540229884</v>
      </c>
    </row>
    <row r="345" spans="1:27">
      <c r="A345">
        <v>2017</v>
      </c>
      <c r="B345" s="13" t="s">
        <v>63</v>
      </c>
      <c r="C345" s="13" t="s">
        <v>46</v>
      </c>
      <c r="D345" s="12">
        <v>2.19</v>
      </c>
      <c r="E345" s="17">
        <f t="shared" si="15"/>
        <v>2190</v>
      </c>
      <c r="F345" s="12">
        <v>146.9</v>
      </c>
      <c r="G345" s="7">
        <v>5</v>
      </c>
      <c r="H345" s="7">
        <v>13.6</v>
      </c>
      <c r="I345" s="12">
        <v>54.9</v>
      </c>
      <c r="J345" s="13" t="s">
        <v>31</v>
      </c>
      <c r="K345" s="13" t="s">
        <v>32</v>
      </c>
      <c r="L345">
        <v>78</v>
      </c>
      <c r="M345">
        <v>23088</v>
      </c>
      <c r="N345" s="15">
        <f>O345/100</f>
        <v>0.69700000000000006</v>
      </c>
      <c r="O345" s="14">
        <v>69.7</v>
      </c>
      <c r="P345">
        <v>72.099999999999994</v>
      </c>
      <c r="Q345">
        <v>0.26</v>
      </c>
      <c r="R345">
        <v>0.52</v>
      </c>
      <c r="S345">
        <v>0</v>
      </c>
      <c r="T345" s="15">
        <f t="shared" si="16"/>
        <v>0.19600000000000001</v>
      </c>
      <c r="U345">
        <v>19.600000000000001</v>
      </c>
      <c r="V345">
        <v>41</v>
      </c>
      <c r="W345" s="12">
        <v>13.9</v>
      </c>
      <c r="X345" s="6">
        <v>448</v>
      </c>
      <c r="Y345" s="11">
        <f>VLOOKUP(B345,calculo!$C$5:$D$29,2,FALSE)</f>
        <v>7.3080164305395545E-2</v>
      </c>
      <c r="Z345" s="11">
        <f>VLOOKUP(B345,calculo!$C$5:$E$29,3,FALSE)</f>
        <v>7.1539348228604194E-2</v>
      </c>
      <c r="AA345" s="12">
        <f t="shared" si="17"/>
        <v>438</v>
      </c>
    </row>
    <row r="346" spans="1:27">
      <c r="A346">
        <v>2018</v>
      </c>
      <c r="B346" s="13" t="s">
        <v>63</v>
      </c>
      <c r="C346" s="13" t="s">
        <v>46</v>
      </c>
      <c r="D346" s="12">
        <v>2.36</v>
      </c>
      <c r="E346" s="17">
        <f t="shared" si="15"/>
        <v>2360</v>
      </c>
      <c r="F346" s="12">
        <v>313.39999999999998</v>
      </c>
      <c r="G346" s="7">
        <v>15</v>
      </c>
      <c r="H346" s="7">
        <v>34.5</v>
      </c>
      <c r="I346" s="12">
        <v>79.2</v>
      </c>
      <c r="J346" s="13" t="s">
        <v>34</v>
      </c>
      <c r="K346" s="13" t="s">
        <v>30</v>
      </c>
      <c r="L346">
        <v>90</v>
      </c>
      <c r="M346">
        <v>18000</v>
      </c>
      <c r="N346" s="15">
        <f>O346/100</f>
        <v>0.86499999999999999</v>
      </c>
      <c r="O346" s="14">
        <v>86.5</v>
      </c>
      <c r="P346">
        <v>45.4</v>
      </c>
      <c r="Q346">
        <v>0.37</v>
      </c>
      <c r="R346">
        <v>0.57999999999999996</v>
      </c>
      <c r="S346">
        <v>0</v>
      </c>
      <c r="T346" s="15">
        <f t="shared" si="16"/>
        <v>0.22600000000000001</v>
      </c>
      <c r="U346">
        <v>22.6</v>
      </c>
      <c r="V346">
        <v>44</v>
      </c>
      <c r="W346" s="12">
        <v>13.9</v>
      </c>
      <c r="X346" s="6">
        <v>453</v>
      </c>
      <c r="Y346" s="11">
        <f>VLOOKUP(B346,calculo!$C$5:$D$29,2,FALSE)</f>
        <v>7.3080164305395545E-2</v>
      </c>
      <c r="Z346" s="11">
        <f>VLOOKUP(B346,calculo!$C$5:$E$29,3,FALSE)</f>
        <v>7.1539348228604194E-2</v>
      </c>
      <c r="AA346" s="12">
        <f t="shared" si="17"/>
        <v>157.33333333333334</v>
      </c>
    </row>
    <row r="347" spans="1:27">
      <c r="A347">
        <v>2019</v>
      </c>
      <c r="B347" s="13" t="s">
        <v>63</v>
      </c>
      <c r="C347" s="13" t="s">
        <v>46</v>
      </c>
      <c r="D347" s="12">
        <v>2.5299999999999998</v>
      </c>
      <c r="E347" s="17">
        <f t="shared" si="15"/>
        <v>2530</v>
      </c>
      <c r="F347" s="12">
        <v>329.7</v>
      </c>
      <c r="G347" s="7">
        <v>52.3</v>
      </c>
      <c r="H347" s="7">
        <v>84.6</v>
      </c>
      <c r="I347" s="12">
        <v>113</v>
      </c>
      <c r="J347" s="13" t="s">
        <v>29</v>
      </c>
      <c r="K347" s="13" t="s">
        <v>30</v>
      </c>
      <c r="L347">
        <v>102</v>
      </c>
      <c r="M347">
        <v>17952</v>
      </c>
      <c r="N347" s="15">
        <f>O347/100</f>
        <v>0.7340000000000001</v>
      </c>
      <c r="O347" s="14">
        <v>73.400000000000006</v>
      </c>
      <c r="P347">
        <v>99.7</v>
      </c>
      <c r="Q347">
        <v>0.48</v>
      </c>
      <c r="R347">
        <v>0.64</v>
      </c>
      <c r="S347">
        <v>0</v>
      </c>
      <c r="T347" s="15">
        <f t="shared" si="16"/>
        <v>0.25600000000000001</v>
      </c>
      <c r="U347">
        <v>25.6</v>
      </c>
      <c r="V347">
        <v>47</v>
      </c>
      <c r="W347" s="12">
        <v>25.9</v>
      </c>
      <c r="X347" s="6">
        <v>25</v>
      </c>
      <c r="Y347" s="11">
        <f>VLOOKUP(B347,calculo!$C$5:$D$29,2,FALSE)</f>
        <v>7.3080164305395545E-2</v>
      </c>
      <c r="Z347" s="11">
        <f>VLOOKUP(B347,calculo!$C$5:$E$29,3,FALSE)</f>
        <v>7.1539348228604194E-2</v>
      </c>
      <c r="AA347" s="12">
        <f t="shared" si="17"/>
        <v>48.374760994263866</v>
      </c>
    </row>
    <row r="348" spans="1:27">
      <c r="A348">
        <v>2020</v>
      </c>
      <c r="B348" s="13" t="s">
        <v>63</v>
      </c>
      <c r="C348" s="13" t="s">
        <v>46</v>
      </c>
      <c r="D348" s="12">
        <v>2.71</v>
      </c>
      <c r="E348" s="17">
        <f t="shared" si="15"/>
        <v>2710</v>
      </c>
      <c r="F348" s="12">
        <v>170.3</v>
      </c>
      <c r="G348" s="7">
        <v>25.7</v>
      </c>
      <c r="H348" s="7">
        <v>56.8</v>
      </c>
      <c r="I348" s="12">
        <v>66.3</v>
      </c>
      <c r="J348" s="13" t="s">
        <v>29</v>
      </c>
      <c r="K348" s="13" t="s">
        <v>32</v>
      </c>
      <c r="L348">
        <v>91</v>
      </c>
      <c r="M348">
        <v>20020</v>
      </c>
      <c r="N348" s="15">
        <f>O348/100</f>
        <v>0.65700000000000003</v>
      </c>
      <c r="O348" s="14">
        <v>65.7</v>
      </c>
      <c r="P348">
        <v>43.3</v>
      </c>
      <c r="Q348">
        <v>0.41</v>
      </c>
      <c r="R348">
        <v>1.1499999999999999</v>
      </c>
      <c r="S348">
        <v>0.45</v>
      </c>
      <c r="T348" s="15">
        <f t="shared" si="16"/>
        <v>0.30399999999999999</v>
      </c>
      <c r="U348">
        <v>30.4</v>
      </c>
      <c r="V348">
        <v>50</v>
      </c>
      <c r="W348" s="12">
        <v>29.6</v>
      </c>
      <c r="X348" s="6">
        <v>414</v>
      </c>
      <c r="Y348" s="11">
        <f>VLOOKUP(B348,calculo!$C$5:$D$29,2,FALSE)</f>
        <v>7.3080164305395545E-2</v>
      </c>
      <c r="Z348" s="11">
        <f>VLOOKUP(B348,calculo!$C$5:$E$29,3,FALSE)</f>
        <v>7.1539348228604194E-2</v>
      </c>
      <c r="AA348" s="12">
        <f t="shared" si="17"/>
        <v>105.44747081712063</v>
      </c>
    </row>
    <row r="349" spans="1:27">
      <c r="A349">
        <v>2021</v>
      </c>
      <c r="B349" s="13" t="s">
        <v>63</v>
      </c>
      <c r="C349" s="13" t="s">
        <v>46</v>
      </c>
      <c r="D349" s="12">
        <v>2.91</v>
      </c>
      <c r="E349" s="17">
        <f t="shared" si="15"/>
        <v>2910</v>
      </c>
      <c r="F349" s="12">
        <v>206.8</v>
      </c>
      <c r="G349" s="7">
        <v>45.1</v>
      </c>
      <c r="H349" s="7">
        <v>69.8</v>
      </c>
      <c r="I349" s="12">
        <v>72.599999999999994</v>
      </c>
      <c r="J349" s="13" t="s">
        <v>34</v>
      </c>
      <c r="K349" s="13" t="s">
        <v>36</v>
      </c>
      <c r="L349">
        <v>54</v>
      </c>
      <c r="M349">
        <v>12150</v>
      </c>
      <c r="N349" s="15">
        <f>O349/100</f>
        <v>0.83499999999999996</v>
      </c>
      <c r="O349" s="14">
        <v>83.5</v>
      </c>
      <c r="P349">
        <v>55.9</v>
      </c>
      <c r="Q349">
        <v>0.68</v>
      </c>
      <c r="R349">
        <v>1.1499999999999999</v>
      </c>
      <c r="S349">
        <v>0.39</v>
      </c>
      <c r="T349" s="15">
        <f t="shared" si="16"/>
        <v>0.315</v>
      </c>
      <c r="U349">
        <v>31.5</v>
      </c>
      <c r="V349">
        <v>53</v>
      </c>
      <c r="W349" s="12">
        <v>15.7</v>
      </c>
      <c r="X349" s="6">
        <v>30</v>
      </c>
      <c r="Y349" s="11">
        <f>VLOOKUP(B349,calculo!$C$5:$D$29,2,FALSE)</f>
        <v>7.3080164305395545E-2</v>
      </c>
      <c r="Z349" s="11">
        <f>VLOOKUP(B349,calculo!$C$5:$E$29,3,FALSE)</f>
        <v>7.1539348228604194E-2</v>
      </c>
      <c r="AA349" s="12">
        <f t="shared" si="17"/>
        <v>64.523281596452321</v>
      </c>
    </row>
    <row r="350" spans="1:27">
      <c r="A350">
        <v>2022</v>
      </c>
      <c r="B350" s="13" t="s">
        <v>63</v>
      </c>
      <c r="C350" s="13" t="s">
        <v>46</v>
      </c>
      <c r="D350" s="12">
        <v>3.13</v>
      </c>
      <c r="E350" s="17">
        <f t="shared" si="15"/>
        <v>3130</v>
      </c>
      <c r="F350" s="12">
        <v>308.89999999999998</v>
      </c>
      <c r="G350" s="7">
        <v>9.6999999999999993</v>
      </c>
      <c r="H350" s="7">
        <v>19.7</v>
      </c>
      <c r="I350" s="12">
        <v>80.3</v>
      </c>
      <c r="J350" s="13" t="s">
        <v>35</v>
      </c>
      <c r="K350" s="13" t="s">
        <v>30</v>
      </c>
      <c r="L350">
        <v>21</v>
      </c>
      <c r="M350">
        <v>1617</v>
      </c>
      <c r="N350" s="15">
        <f>O350/100</f>
        <v>0.503</v>
      </c>
      <c r="O350" s="14">
        <v>50.3</v>
      </c>
      <c r="P350">
        <v>62.2</v>
      </c>
      <c r="Q350">
        <v>0.69</v>
      </c>
      <c r="R350">
        <v>0.82</v>
      </c>
      <c r="S350">
        <v>0</v>
      </c>
      <c r="T350" s="15">
        <f t="shared" si="16"/>
        <v>0.32899999999999996</v>
      </c>
      <c r="U350">
        <v>32.9</v>
      </c>
      <c r="V350">
        <v>56</v>
      </c>
      <c r="W350" s="12">
        <v>5.8</v>
      </c>
      <c r="X350" s="6">
        <v>258</v>
      </c>
      <c r="Y350" s="11">
        <f>VLOOKUP(B350,calculo!$C$5:$D$29,2,FALSE)</f>
        <v>7.3080164305395545E-2</v>
      </c>
      <c r="Z350" s="11">
        <f>VLOOKUP(B350,calculo!$C$5:$E$29,3,FALSE)</f>
        <v>7.1539348228604194E-2</v>
      </c>
      <c r="AA350" s="12">
        <f t="shared" si="17"/>
        <v>322.68041237113403</v>
      </c>
    </row>
    <row r="351" spans="1:27">
      <c r="A351">
        <v>2023</v>
      </c>
      <c r="B351" s="13" t="s">
        <v>63</v>
      </c>
      <c r="C351" s="13" t="s">
        <v>46</v>
      </c>
      <c r="D351" s="12">
        <v>3.35</v>
      </c>
      <c r="E351" s="17">
        <f t="shared" si="15"/>
        <v>3350</v>
      </c>
      <c r="F351" s="12">
        <v>274.60000000000002</v>
      </c>
      <c r="G351" s="7">
        <v>8.1</v>
      </c>
      <c r="H351" s="7">
        <v>14.2</v>
      </c>
      <c r="I351" s="12">
        <v>98.9</v>
      </c>
      <c r="J351" s="13" t="s">
        <v>35</v>
      </c>
      <c r="K351" s="13" t="s">
        <v>36</v>
      </c>
      <c r="L351">
        <v>101</v>
      </c>
      <c r="M351">
        <v>20301</v>
      </c>
      <c r="N351" s="15">
        <f>O351/100</f>
        <v>0.55600000000000005</v>
      </c>
      <c r="O351" s="14">
        <v>55.6</v>
      </c>
      <c r="P351">
        <v>44</v>
      </c>
      <c r="Q351">
        <v>0.72</v>
      </c>
      <c r="R351">
        <v>0.88</v>
      </c>
      <c r="S351">
        <v>0</v>
      </c>
      <c r="T351" s="15">
        <f t="shared" si="16"/>
        <v>0.313</v>
      </c>
      <c r="U351">
        <v>31.3</v>
      </c>
      <c r="V351">
        <v>59</v>
      </c>
      <c r="W351" s="12">
        <v>15.9</v>
      </c>
      <c r="X351" s="6">
        <v>10</v>
      </c>
      <c r="Y351" s="11">
        <f>VLOOKUP(B351,calculo!$C$5:$D$29,2,FALSE)</f>
        <v>7.3080164305395545E-2</v>
      </c>
      <c r="Z351" s="11">
        <f>VLOOKUP(B351,calculo!$C$5:$E$29,3,FALSE)</f>
        <v>7.1539348228604194E-2</v>
      </c>
      <c r="AA351" s="12">
        <f t="shared" si="17"/>
        <v>413.58024691358025</v>
      </c>
    </row>
    <row r="352" spans="1:27">
      <c r="A352">
        <v>2024</v>
      </c>
      <c r="B352" s="13" t="s">
        <v>63</v>
      </c>
      <c r="C352" s="13" t="s">
        <v>46</v>
      </c>
      <c r="D352" s="12">
        <v>3.6</v>
      </c>
      <c r="E352" s="17">
        <f t="shared" si="15"/>
        <v>3600</v>
      </c>
      <c r="F352" s="12">
        <v>500.7</v>
      </c>
      <c r="G352" s="7">
        <v>36.6</v>
      </c>
      <c r="H352" s="7">
        <v>114.3</v>
      </c>
      <c r="I352" s="12">
        <v>81.599999999999994</v>
      </c>
      <c r="J352" s="13" t="s">
        <v>35</v>
      </c>
      <c r="K352" s="13" t="s">
        <v>30</v>
      </c>
      <c r="L352">
        <v>20</v>
      </c>
      <c r="M352">
        <v>4620</v>
      </c>
      <c r="N352" s="15">
        <f>O352/100</f>
        <v>0.58099999999999996</v>
      </c>
      <c r="O352" s="14">
        <v>58.1</v>
      </c>
      <c r="P352">
        <v>45.2</v>
      </c>
      <c r="Q352">
        <v>0.83</v>
      </c>
      <c r="R352">
        <v>0.94</v>
      </c>
      <c r="S352">
        <v>0</v>
      </c>
      <c r="T352" s="15">
        <f t="shared" si="16"/>
        <v>0.35499999999999998</v>
      </c>
      <c r="U352">
        <v>35.5</v>
      </c>
      <c r="V352">
        <v>62</v>
      </c>
      <c r="W352" s="12">
        <v>7.6</v>
      </c>
      <c r="X352" s="6">
        <v>245</v>
      </c>
      <c r="Y352" s="11">
        <f>VLOOKUP(B352,calculo!$C$5:$D$29,2,FALSE)</f>
        <v>7.3080164305395545E-2</v>
      </c>
      <c r="Z352" s="11">
        <f>VLOOKUP(B352,calculo!$C$5:$E$29,3,FALSE)</f>
        <v>7.1539348228604194E-2</v>
      </c>
      <c r="AA352" s="12">
        <f t="shared" si="17"/>
        <v>98.360655737704917</v>
      </c>
    </row>
    <row r="353" spans="1:27">
      <c r="A353">
        <v>2025</v>
      </c>
      <c r="B353" s="13" t="s">
        <v>63</v>
      </c>
      <c r="C353" s="13" t="s">
        <v>46</v>
      </c>
      <c r="D353" s="12">
        <v>3.86</v>
      </c>
      <c r="E353" s="17">
        <f t="shared" si="15"/>
        <v>3860</v>
      </c>
      <c r="F353" s="12">
        <v>361.7</v>
      </c>
      <c r="G353" s="7">
        <v>36.5</v>
      </c>
      <c r="H353" s="7">
        <v>97.7</v>
      </c>
      <c r="I353" s="12">
        <v>38.1</v>
      </c>
      <c r="J353" s="13" t="s">
        <v>33</v>
      </c>
      <c r="K353" s="13" t="s">
        <v>30</v>
      </c>
      <c r="L353">
        <v>109</v>
      </c>
      <c r="M353">
        <v>10573</v>
      </c>
      <c r="N353" s="15">
        <f>O353/100</f>
        <v>0.73299999999999998</v>
      </c>
      <c r="O353" s="14">
        <v>73.3</v>
      </c>
      <c r="P353">
        <v>41</v>
      </c>
      <c r="Q353">
        <v>0.87</v>
      </c>
      <c r="R353">
        <v>1</v>
      </c>
      <c r="S353">
        <v>0</v>
      </c>
      <c r="T353" s="15">
        <f t="shared" si="16"/>
        <v>0.375</v>
      </c>
      <c r="U353">
        <v>37.5</v>
      </c>
      <c r="V353">
        <v>65</v>
      </c>
      <c r="W353" s="12">
        <v>21.2</v>
      </c>
      <c r="X353" s="6">
        <v>453</v>
      </c>
      <c r="Y353" s="11">
        <f>VLOOKUP(B353,calculo!$C$5:$D$29,2,FALSE)</f>
        <v>7.3080164305395545E-2</v>
      </c>
      <c r="Z353" s="11">
        <f>VLOOKUP(B353,calculo!$C$5:$E$29,3,FALSE)</f>
        <v>7.1539348228604194E-2</v>
      </c>
      <c r="AA353" s="12">
        <f t="shared" si="17"/>
        <v>105.75342465753425</v>
      </c>
    </row>
    <row r="354" spans="1:27">
      <c r="A354">
        <v>2010</v>
      </c>
      <c r="B354" s="13" t="s">
        <v>64</v>
      </c>
      <c r="C354" s="13" t="s">
        <v>42</v>
      </c>
      <c r="D354" s="12">
        <v>1.2</v>
      </c>
      <c r="E354" s="17">
        <f t="shared" si="15"/>
        <v>1200</v>
      </c>
      <c r="F354" s="12">
        <v>164.2</v>
      </c>
      <c r="G354" s="7">
        <v>19.899999999999999</v>
      </c>
      <c r="H354" s="7">
        <v>41.6</v>
      </c>
      <c r="I354" s="12">
        <v>61.9</v>
      </c>
      <c r="J354" s="13" t="s">
        <v>29</v>
      </c>
      <c r="K354" s="13" t="s">
        <v>32</v>
      </c>
      <c r="L354">
        <v>19</v>
      </c>
      <c r="M354">
        <v>2812</v>
      </c>
      <c r="N354" s="15">
        <f>O354/100</f>
        <v>0.79799999999999993</v>
      </c>
      <c r="O354" s="14">
        <v>79.8</v>
      </c>
      <c r="P354">
        <v>85.6</v>
      </c>
      <c r="Q354">
        <v>0.02</v>
      </c>
      <c r="R354">
        <v>0.1</v>
      </c>
      <c r="S354">
        <v>0</v>
      </c>
      <c r="T354" s="15">
        <f t="shared" si="16"/>
        <v>0.13</v>
      </c>
      <c r="U354">
        <v>13</v>
      </c>
      <c r="V354">
        <v>20</v>
      </c>
      <c r="W354" s="12">
        <v>5.5</v>
      </c>
      <c r="X354" s="6">
        <v>120</v>
      </c>
      <c r="Y354" s="11">
        <f>VLOOKUP(B354,calculo!$C$5:$D$29,2,FALSE)</f>
        <v>0.12237132664292405</v>
      </c>
      <c r="Z354" s="11">
        <f>VLOOKUP(B354,calculo!$C$5:$E$29,3,FALSE)</f>
        <v>0.11557112681169279</v>
      </c>
      <c r="AA354" s="12">
        <f t="shared" si="17"/>
        <v>60.301507537688444</v>
      </c>
    </row>
    <row r="355" spans="1:27">
      <c r="A355">
        <v>2011</v>
      </c>
      <c r="B355" s="13" t="s">
        <v>64</v>
      </c>
      <c r="C355" s="13" t="s">
        <v>42</v>
      </c>
      <c r="D355" s="12">
        <v>1.35</v>
      </c>
      <c r="E355" s="17">
        <f t="shared" si="15"/>
        <v>1350</v>
      </c>
      <c r="F355" s="12">
        <v>202.3</v>
      </c>
      <c r="G355" s="7">
        <v>43.8</v>
      </c>
      <c r="H355" s="7">
        <v>90.8</v>
      </c>
      <c r="I355" s="12">
        <v>135.6</v>
      </c>
      <c r="J355" s="13" t="s">
        <v>35</v>
      </c>
      <c r="K355" s="13" t="s">
        <v>30</v>
      </c>
      <c r="L355">
        <v>116</v>
      </c>
      <c r="M355">
        <v>27840</v>
      </c>
      <c r="N355" s="15">
        <f>O355/100</f>
        <v>0.61499999999999999</v>
      </c>
      <c r="O355" s="14">
        <v>61.5</v>
      </c>
      <c r="P355">
        <v>41.5</v>
      </c>
      <c r="Q355">
        <v>0.12</v>
      </c>
      <c r="R355">
        <v>0.16</v>
      </c>
      <c r="S355">
        <v>0</v>
      </c>
      <c r="T355" s="15">
        <f t="shared" si="16"/>
        <v>0.121</v>
      </c>
      <c r="U355">
        <v>12.1</v>
      </c>
      <c r="V355">
        <v>23</v>
      </c>
      <c r="W355" s="12">
        <v>24.1</v>
      </c>
      <c r="X355" s="6">
        <v>307</v>
      </c>
      <c r="Y355" s="11">
        <f>VLOOKUP(B355,calculo!$C$5:$D$29,2,FALSE)</f>
        <v>0.12237132664292405</v>
      </c>
      <c r="Z355" s="11">
        <f>VLOOKUP(B355,calculo!$C$5:$E$29,3,FALSE)</f>
        <v>0.11557112681169279</v>
      </c>
      <c r="AA355" s="12">
        <f t="shared" si="17"/>
        <v>30.82191780821918</v>
      </c>
    </row>
    <row r="356" spans="1:27">
      <c r="A356">
        <v>2012</v>
      </c>
      <c r="B356" s="13" t="s">
        <v>64</v>
      </c>
      <c r="C356" s="13" t="s">
        <v>42</v>
      </c>
      <c r="D356" s="12">
        <v>1.52</v>
      </c>
      <c r="E356" s="17">
        <f t="shared" si="15"/>
        <v>1520</v>
      </c>
      <c r="F356" s="12">
        <v>178.2</v>
      </c>
      <c r="G356" s="7">
        <v>15.9</v>
      </c>
      <c r="H356" s="7">
        <v>47.9</v>
      </c>
      <c r="I356" s="12">
        <v>121.2</v>
      </c>
      <c r="J356" s="13" t="s">
        <v>29</v>
      </c>
      <c r="K356" s="13" t="s">
        <v>32</v>
      </c>
      <c r="L356">
        <v>6</v>
      </c>
      <c r="M356">
        <v>1770</v>
      </c>
      <c r="N356" s="15">
        <f>O356/100</f>
        <v>0.67400000000000004</v>
      </c>
      <c r="O356" s="14">
        <v>67.400000000000006</v>
      </c>
      <c r="P356">
        <v>53</v>
      </c>
      <c r="Q356">
        <v>0.1</v>
      </c>
      <c r="R356">
        <v>0.22</v>
      </c>
      <c r="S356">
        <v>0</v>
      </c>
      <c r="T356" s="15">
        <f t="shared" si="16"/>
        <v>0.156</v>
      </c>
      <c r="U356">
        <v>15.6</v>
      </c>
      <c r="V356">
        <v>26</v>
      </c>
      <c r="W356" s="12">
        <v>1.5</v>
      </c>
      <c r="X356" s="6">
        <v>206</v>
      </c>
      <c r="Y356" s="11">
        <f>VLOOKUP(B356,calculo!$C$5:$D$29,2,FALSE)</f>
        <v>0.12237132664292405</v>
      </c>
      <c r="Z356" s="11">
        <f>VLOOKUP(B356,calculo!$C$5:$E$29,3,FALSE)</f>
        <v>0.11557112681169279</v>
      </c>
      <c r="AA356" s="12">
        <f t="shared" si="17"/>
        <v>95.59748427672956</v>
      </c>
    </row>
    <row r="357" spans="1:27">
      <c r="A357">
        <v>2013</v>
      </c>
      <c r="B357" s="13" t="s">
        <v>64</v>
      </c>
      <c r="C357" s="13" t="s">
        <v>42</v>
      </c>
      <c r="D357" s="12">
        <v>1.7</v>
      </c>
      <c r="E357" s="17">
        <f t="shared" si="15"/>
        <v>1700</v>
      </c>
      <c r="F357" s="12">
        <v>249.4</v>
      </c>
      <c r="G357" s="7">
        <v>24.8</v>
      </c>
      <c r="H357" s="7">
        <v>43.7</v>
      </c>
      <c r="I357" s="12">
        <v>110.6</v>
      </c>
      <c r="J357" s="13" t="s">
        <v>33</v>
      </c>
      <c r="K357" s="13" t="s">
        <v>32</v>
      </c>
      <c r="L357">
        <v>17</v>
      </c>
      <c r="M357">
        <v>2907</v>
      </c>
      <c r="N357" s="15">
        <f>O357/100</f>
        <v>0.72699999999999998</v>
      </c>
      <c r="O357" s="14">
        <v>72.7</v>
      </c>
      <c r="P357">
        <v>48.4</v>
      </c>
      <c r="Q357">
        <v>0.14000000000000001</v>
      </c>
      <c r="R357">
        <v>0.28000000000000003</v>
      </c>
      <c r="S357">
        <v>0</v>
      </c>
      <c r="T357" s="15">
        <f t="shared" si="16"/>
        <v>0.17100000000000001</v>
      </c>
      <c r="U357">
        <v>17.100000000000001</v>
      </c>
      <c r="V357">
        <v>29</v>
      </c>
      <c r="W357" s="12">
        <v>5</v>
      </c>
      <c r="X357" s="6">
        <v>91</v>
      </c>
      <c r="Y357" s="11">
        <f>VLOOKUP(B357,calculo!$C$5:$D$29,2,FALSE)</f>
        <v>0.12237132664292405</v>
      </c>
      <c r="Z357" s="11">
        <f>VLOOKUP(B357,calculo!$C$5:$E$29,3,FALSE)</f>
        <v>0.11557112681169279</v>
      </c>
      <c r="AA357" s="12">
        <f t="shared" si="17"/>
        <v>68.548387096774192</v>
      </c>
    </row>
    <row r="358" spans="1:27">
      <c r="A358">
        <v>2014</v>
      </c>
      <c r="B358" s="13" t="s">
        <v>64</v>
      </c>
      <c r="C358" s="13" t="s">
        <v>42</v>
      </c>
      <c r="D358" s="12">
        <v>1.91</v>
      </c>
      <c r="E358" s="17">
        <f t="shared" si="15"/>
        <v>1910</v>
      </c>
      <c r="F358" s="12">
        <v>216.9</v>
      </c>
      <c r="G358" s="7">
        <v>25.1</v>
      </c>
      <c r="H358" s="7">
        <v>38</v>
      </c>
      <c r="I358" s="12">
        <v>92.8</v>
      </c>
      <c r="J358" s="13" t="s">
        <v>35</v>
      </c>
      <c r="K358" s="13" t="s">
        <v>32</v>
      </c>
      <c r="L358">
        <v>66</v>
      </c>
      <c r="M358">
        <v>12738</v>
      </c>
      <c r="N358" s="15">
        <f>O358/100</f>
        <v>0.83799999999999997</v>
      </c>
      <c r="O358" s="14">
        <v>83.8</v>
      </c>
      <c r="P358">
        <v>92.3</v>
      </c>
      <c r="Q358">
        <v>7.0000000000000007E-2</v>
      </c>
      <c r="R358">
        <v>0.34</v>
      </c>
      <c r="S358">
        <v>0</v>
      </c>
      <c r="T358" s="15">
        <f t="shared" si="16"/>
        <v>0.14599999999999999</v>
      </c>
      <c r="U358">
        <v>14.6</v>
      </c>
      <c r="V358">
        <v>32</v>
      </c>
      <c r="W358" s="12">
        <v>23.3</v>
      </c>
      <c r="X358" s="6">
        <v>192</v>
      </c>
      <c r="Y358" s="11">
        <f>VLOOKUP(B358,calculo!$C$5:$D$29,2,FALSE)</f>
        <v>0.12237132664292405</v>
      </c>
      <c r="Z358" s="11">
        <f>VLOOKUP(B358,calculo!$C$5:$E$29,3,FALSE)</f>
        <v>0.11557112681169279</v>
      </c>
      <c r="AA358" s="12">
        <f t="shared" si="17"/>
        <v>76.095617529880471</v>
      </c>
    </row>
    <row r="359" spans="1:27">
      <c r="A359">
        <v>2015</v>
      </c>
      <c r="B359" s="13" t="s">
        <v>64</v>
      </c>
      <c r="C359" s="13" t="s">
        <v>42</v>
      </c>
      <c r="D359" s="12">
        <v>2.14</v>
      </c>
      <c r="E359" s="17">
        <f t="shared" si="15"/>
        <v>2140</v>
      </c>
      <c r="F359" s="12">
        <v>244.6</v>
      </c>
      <c r="G359" s="7">
        <v>3.5</v>
      </c>
      <c r="H359" s="7">
        <v>10.7</v>
      </c>
      <c r="I359" s="12">
        <v>138.4</v>
      </c>
      <c r="J359" s="13" t="s">
        <v>31</v>
      </c>
      <c r="K359" s="13" t="s">
        <v>32</v>
      </c>
      <c r="L359">
        <v>108</v>
      </c>
      <c r="M359">
        <v>24624</v>
      </c>
      <c r="N359" s="15">
        <f>O359/100</f>
        <v>0.89400000000000002</v>
      </c>
      <c r="O359" s="14">
        <v>89.4</v>
      </c>
      <c r="P359">
        <v>47.7</v>
      </c>
      <c r="Q359">
        <v>0.12</v>
      </c>
      <c r="R359">
        <v>0.4</v>
      </c>
      <c r="S359">
        <v>0</v>
      </c>
      <c r="T359" s="15">
        <f t="shared" si="16"/>
        <v>0.16500000000000001</v>
      </c>
      <c r="U359">
        <v>16.5</v>
      </c>
      <c r="V359">
        <v>35</v>
      </c>
      <c r="W359" s="12">
        <v>22.9</v>
      </c>
      <c r="X359" s="6">
        <v>470</v>
      </c>
      <c r="Y359" s="11">
        <f>VLOOKUP(B359,calculo!$C$5:$D$29,2,FALSE)</f>
        <v>0.12237132664292405</v>
      </c>
      <c r="Z359" s="11">
        <f>VLOOKUP(B359,calculo!$C$5:$E$29,3,FALSE)</f>
        <v>0.11557112681169279</v>
      </c>
      <c r="AA359" s="12">
        <f t="shared" si="17"/>
        <v>611.42857142857144</v>
      </c>
    </row>
    <row r="360" spans="1:27">
      <c r="A360">
        <v>2016</v>
      </c>
      <c r="B360" s="13" t="s">
        <v>64</v>
      </c>
      <c r="C360" s="13" t="s">
        <v>42</v>
      </c>
      <c r="D360" s="12">
        <v>2.4</v>
      </c>
      <c r="E360" s="17">
        <f t="shared" si="15"/>
        <v>2400</v>
      </c>
      <c r="F360" s="12">
        <v>186</v>
      </c>
      <c r="G360" s="7">
        <v>54.9</v>
      </c>
      <c r="H360" s="7">
        <v>93</v>
      </c>
      <c r="I360" s="12">
        <v>132.4</v>
      </c>
      <c r="J360" s="13" t="s">
        <v>34</v>
      </c>
      <c r="K360" s="13" t="s">
        <v>30</v>
      </c>
      <c r="L360">
        <v>29</v>
      </c>
      <c r="M360">
        <v>6728</v>
      </c>
      <c r="N360" s="15">
        <f>O360/100</f>
        <v>0.61</v>
      </c>
      <c r="O360" s="14">
        <v>61</v>
      </c>
      <c r="P360">
        <v>48</v>
      </c>
      <c r="Q360">
        <v>0.2</v>
      </c>
      <c r="R360">
        <v>0.46</v>
      </c>
      <c r="S360">
        <v>0</v>
      </c>
      <c r="T360" s="15">
        <f t="shared" si="16"/>
        <v>0.20800000000000002</v>
      </c>
      <c r="U360">
        <v>20.8</v>
      </c>
      <c r="V360">
        <v>38</v>
      </c>
      <c r="W360" s="12">
        <v>8</v>
      </c>
      <c r="X360" s="6">
        <v>293</v>
      </c>
      <c r="Y360" s="11">
        <f>VLOOKUP(B360,calculo!$C$5:$D$29,2,FALSE)</f>
        <v>0.12237132664292405</v>
      </c>
      <c r="Z360" s="11">
        <f>VLOOKUP(B360,calculo!$C$5:$E$29,3,FALSE)</f>
        <v>0.11557112681169279</v>
      </c>
      <c r="AA360" s="12">
        <f t="shared" si="17"/>
        <v>43.715846994535518</v>
      </c>
    </row>
    <row r="361" spans="1:27">
      <c r="A361">
        <v>2017</v>
      </c>
      <c r="B361" s="13" t="s">
        <v>64</v>
      </c>
      <c r="C361" s="13" t="s">
        <v>42</v>
      </c>
      <c r="D361" s="12">
        <v>2.7</v>
      </c>
      <c r="E361" s="17">
        <f t="shared" si="15"/>
        <v>2700</v>
      </c>
      <c r="F361" s="12">
        <v>171.9</v>
      </c>
      <c r="G361" s="7">
        <v>57.2</v>
      </c>
      <c r="H361" s="7">
        <v>123.5</v>
      </c>
      <c r="I361" s="12">
        <v>109.5</v>
      </c>
      <c r="J361" s="13" t="s">
        <v>31</v>
      </c>
      <c r="K361" s="13" t="s">
        <v>30</v>
      </c>
      <c r="L361">
        <v>98</v>
      </c>
      <c r="M361">
        <v>10584</v>
      </c>
      <c r="N361" s="15">
        <f>O361/100</f>
        <v>0.8859999999999999</v>
      </c>
      <c r="O361" s="14">
        <v>88.6</v>
      </c>
      <c r="P361">
        <v>34.9</v>
      </c>
      <c r="Q361">
        <v>0.28000000000000003</v>
      </c>
      <c r="R361">
        <v>0.52</v>
      </c>
      <c r="S361">
        <v>0</v>
      </c>
      <c r="T361" s="15">
        <f t="shared" si="16"/>
        <v>0.223</v>
      </c>
      <c r="U361">
        <v>22.3</v>
      </c>
      <c r="V361">
        <v>41</v>
      </c>
      <c r="W361" s="12">
        <v>34.6</v>
      </c>
      <c r="X361" s="6">
        <v>394</v>
      </c>
      <c r="Y361" s="11">
        <f>VLOOKUP(B361,calculo!$C$5:$D$29,2,FALSE)</f>
        <v>0.12237132664292405</v>
      </c>
      <c r="Z361" s="11">
        <f>VLOOKUP(B361,calculo!$C$5:$E$29,3,FALSE)</f>
        <v>0.11557112681169279</v>
      </c>
      <c r="AA361" s="12">
        <f t="shared" si="17"/>
        <v>47.2027972027972</v>
      </c>
    </row>
    <row r="362" spans="1:27">
      <c r="A362">
        <v>2018</v>
      </c>
      <c r="B362" s="13" t="s">
        <v>64</v>
      </c>
      <c r="C362" s="13" t="s">
        <v>42</v>
      </c>
      <c r="D362" s="12">
        <v>3.03</v>
      </c>
      <c r="E362" s="17">
        <f t="shared" si="15"/>
        <v>3030</v>
      </c>
      <c r="F362" s="12">
        <v>347.1</v>
      </c>
      <c r="G362" s="7">
        <v>38.200000000000003</v>
      </c>
      <c r="H362" s="7">
        <v>106.2</v>
      </c>
      <c r="I362" s="12">
        <v>66.900000000000006</v>
      </c>
      <c r="J362" s="13" t="s">
        <v>31</v>
      </c>
      <c r="K362" s="13" t="s">
        <v>32</v>
      </c>
      <c r="L362">
        <v>11</v>
      </c>
      <c r="M362">
        <v>836</v>
      </c>
      <c r="N362" s="15">
        <f>O362/100</f>
        <v>0.57600000000000007</v>
      </c>
      <c r="O362" s="14">
        <v>57.6</v>
      </c>
      <c r="P362">
        <v>87.7</v>
      </c>
      <c r="Q362">
        <v>0.3</v>
      </c>
      <c r="R362">
        <v>0.57999999999999996</v>
      </c>
      <c r="S362">
        <v>0</v>
      </c>
      <c r="T362" s="15">
        <f t="shared" si="16"/>
        <v>0.23699999999999999</v>
      </c>
      <c r="U362">
        <v>23.7</v>
      </c>
      <c r="V362">
        <v>44</v>
      </c>
      <c r="W362" s="12">
        <v>4.3</v>
      </c>
      <c r="X362" s="6">
        <v>382</v>
      </c>
      <c r="Y362" s="11">
        <f>VLOOKUP(B362,calculo!$C$5:$D$29,2,FALSE)</f>
        <v>0.12237132664292405</v>
      </c>
      <c r="Z362" s="11">
        <f>VLOOKUP(B362,calculo!$C$5:$E$29,3,FALSE)</f>
        <v>0.11557112681169279</v>
      </c>
      <c r="AA362" s="12">
        <f t="shared" si="17"/>
        <v>79.319371727748688</v>
      </c>
    </row>
    <row r="363" spans="1:27">
      <c r="A363">
        <v>2019</v>
      </c>
      <c r="B363" s="13" t="s">
        <v>64</v>
      </c>
      <c r="C363" s="13" t="s">
        <v>42</v>
      </c>
      <c r="D363" s="12">
        <v>3.4</v>
      </c>
      <c r="E363" s="17">
        <f t="shared" si="15"/>
        <v>3400</v>
      </c>
      <c r="F363" s="12">
        <v>366.1</v>
      </c>
      <c r="G363" s="7">
        <v>19.899999999999999</v>
      </c>
      <c r="H363" s="7">
        <v>48.7</v>
      </c>
      <c r="I363" s="12">
        <v>125.2</v>
      </c>
      <c r="J363" s="13" t="s">
        <v>34</v>
      </c>
      <c r="K363" s="13" t="s">
        <v>30</v>
      </c>
      <c r="L363">
        <v>52</v>
      </c>
      <c r="M363">
        <v>14196</v>
      </c>
      <c r="N363" s="15">
        <f>O363/100</f>
        <v>0.80200000000000005</v>
      </c>
      <c r="O363" s="14">
        <v>80.2</v>
      </c>
      <c r="P363">
        <v>77.3</v>
      </c>
      <c r="Q363">
        <v>0.36</v>
      </c>
      <c r="R363">
        <v>0.64</v>
      </c>
      <c r="S363">
        <v>0</v>
      </c>
      <c r="T363" s="15">
        <f t="shared" si="16"/>
        <v>0.28399999999999997</v>
      </c>
      <c r="U363">
        <v>28.4</v>
      </c>
      <c r="V363">
        <v>47</v>
      </c>
      <c r="W363" s="12">
        <v>19.899999999999999</v>
      </c>
      <c r="X363" s="6">
        <v>424</v>
      </c>
      <c r="Y363" s="11">
        <f>VLOOKUP(B363,calculo!$C$5:$D$29,2,FALSE)</f>
        <v>0.12237132664292405</v>
      </c>
      <c r="Z363" s="11">
        <f>VLOOKUP(B363,calculo!$C$5:$E$29,3,FALSE)</f>
        <v>0.11557112681169279</v>
      </c>
      <c r="AA363" s="12">
        <f t="shared" si="17"/>
        <v>170.85427135678393</v>
      </c>
    </row>
    <row r="364" spans="1:27">
      <c r="A364">
        <v>2020</v>
      </c>
      <c r="B364" s="13" t="s">
        <v>64</v>
      </c>
      <c r="C364" s="13" t="s">
        <v>42</v>
      </c>
      <c r="D364" s="12">
        <v>3.81</v>
      </c>
      <c r="E364" s="17">
        <f t="shared" si="15"/>
        <v>3810</v>
      </c>
      <c r="F364" s="12">
        <v>423.8</v>
      </c>
      <c r="G364" s="7">
        <v>19.8</v>
      </c>
      <c r="H364" s="7">
        <v>42.5</v>
      </c>
      <c r="I364" s="12">
        <v>38.5</v>
      </c>
      <c r="J364" s="13" t="s">
        <v>34</v>
      </c>
      <c r="K364" s="13" t="s">
        <v>30</v>
      </c>
      <c r="L364">
        <v>31</v>
      </c>
      <c r="M364">
        <v>1984</v>
      </c>
      <c r="N364" s="15">
        <f>O364/100</f>
        <v>0.92400000000000004</v>
      </c>
      <c r="O364" s="14">
        <v>92.4</v>
      </c>
      <c r="P364">
        <v>47.4</v>
      </c>
      <c r="Q364">
        <v>0.46</v>
      </c>
      <c r="R364">
        <v>0.96</v>
      </c>
      <c r="S364">
        <v>0.26</v>
      </c>
      <c r="T364" s="15">
        <f t="shared" si="16"/>
        <v>0.25800000000000001</v>
      </c>
      <c r="U364">
        <v>25.8</v>
      </c>
      <c r="V364">
        <v>50</v>
      </c>
      <c r="W364" s="12">
        <v>11.3</v>
      </c>
      <c r="X364" s="6">
        <v>481</v>
      </c>
      <c r="Y364" s="11">
        <f>VLOOKUP(B364,calculo!$C$5:$D$29,2,FALSE)</f>
        <v>0.12237132664292405</v>
      </c>
      <c r="Z364" s="11">
        <f>VLOOKUP(B364,calculo!$C$5:$E$29,3,FALSE)</f>
        <v>0.11557112681169279</v>
      </c>
      <c r="AA364" s="12">
        <f t="shared" si="17"/>
        <v>192.42424242424241</v>
      </c>
    </row>
    <row r="365" spans="1:27">
      <c r="A365">
        <v>2021</v>
      </c>
      <c r="B365" s="13" t="s">
        <v>64</v>
      </c>
      <c r="C365" s="13" t="s">
        <v>42</v>
      </c>
      <c r="D365" s="12">
        <v>4.28</v>
      </c>
      <c r="E365" s="17">
        <f t="shared" si="15"/>
        <v>4280</v>
      </c>
      <c r="F365" s="12">
        <v>237.8</v>
      </c>
      <c r="G365" s="7">
        <v>16.8</v>
      </c>
      <c r="H365" s="7">
        <v>43</v>
      </c>
      <c r="I365" s="12">
        <v>50.6</v>
      </c>
      <c r="J365" s="13" t="s">
        <v>29</v>
      </c>
      <c r="K365" s="13" t="s">
        <v>36</v>
      </c>
      <c r="L365">
        <v>86</v>
      </c>
      <c r="M365">
        <v>25370</v>
      </c>
      <c r="N365" s="15">
        <f>O365/100</f>
        <v>0.56200000000000006</v>
      </c>
      <c r="O365" s="14">
        <v>56.2</v>
      </c>
      <c r="P365">
        <v>98.7</v>
      </c>
      <c r="Q365">
        <v>0.57999999999999996</v>
      </c>
      <c r="R365">
        <v>1.35</v>
      </c>
      <c r="S365">
        <v>0.59</v>
      </c>
      <c r="T365" s="15">
        <f t="shared" si="16"/>
        <v>0.28600000000000003</v>
      </c>
      <c r="U365">
        <v>28.6</v>
      </c>
      <c r="V365">
        <v>53</v>
      </c>
      <c r="W365" s="12">
        <v>22.8</v>
      </c>
      <c r="X365" s="6">
        <v>319</v>
      </c>
      <c r="Y365" s="11">
        <f>VLOOKUP(B365,calculo!$C$5:$D$29,2,FALSE)</f>
        <v>0.12237132664292405</v>
      </c>
      <c r="Z365" s="11">
        <f>VLOOKUP(B365,calculo!$C$5:$E$29,3,FALSE)</f>
        <v>0.11557112681169279</v>
      </c>
      <c r="AA365" s="12">
        <f t="shared" si="17"/>
        <v>254.76190476190476</v>
      </c>
    </row>
    <row r="366" spans="1:27">
      <c r="A366">
        <v>2022</v>
      </c>
      <c r="B366" s="13" t="s">
        <v>64</v>
      </c>
      <c r="C366" s="13" t="s">
        <v>42</v>
      </c>
      <c r="D366" s="12">
        <v>4.8</v>
      </c>
      <c r="E366" s="17">
        <f t="shared" si="15"/>
        <v>4800</v>
      </c>
      <c r="F366" s="12">
        <v>657</v>
      </c>
      <c r="G366" s="7">
        <v>32.700000000000003</v>
      </c>
      <c r="H366" s="7">
        <v>79.8</v>
      </c>
      <c r="I366" s="12">
        <v>79.3</v>
      </c>
      <c r="J366" s="13" t="s">
        <v>33</v>
      </c>
      <c r="K366" s="13" t="s">
        <v>30</v>
      </c>
      <c r="L366">
        <v>26</v>
      </c>
      <c r="M366">
        <v>2184</v>
      </c>
      <c r="N366" s="15">
        <f>O366/100</f>
        <v>0.80299999999999994</v>
      </c>
      <c r="O366" s="14">
        <v>80.3</v>
      </c>
      <c r="P366">
        <v>35.299999999999997</v>
      </c>
      <c r="Q366">
        <v>0.53</v>
      </c>
      <c r="R366">
        <v>0.82</v>
      </c>
      <c r="S366">
        <v>0</v>
      </c>
      <c r="T366" s="15">
        <f t="shared" si="16"/>
        <v>0.27200000000000002</v>
      </c>
      <c r="U366">
        <v>27.2</v>
      </c>
      <c r="V366">
        <v>56</v>
      </c>
      <c r="W366" s="12">
        <v>9.6999999999999993</v>
      </c>
      <c r="X366" s="6">
        <v>345</v>
      </c>
      <c r="Y366" s="11">
        <f>VLOOKUP(B366,calculo!$C$5:$D$29,2,FALSE)</f>
        <v>0.12237132664292405</v>
      </c>
      <c r="Z366" s="11">
        <f>VLOOKUP(B366,calculo!$C$5:$E$29,3,FALSE)</f>
        <v>0.11557112681169279</v>
      </c>
      <c r="AA366" s="12">
        <f t="shared" si="17"/>
        <v>146.78899082568807</v>
      </c>
    </row>
    <row r="367" spans="1:27">
      <c r="A367">
        <v>2023</v>
      </c>
      <c r="B367" s="13" t="s">
        <v>64</v>
      </c>
      <c r="C367" s="13" t="s">
        <v>42</v>
      </c>
      <c r="D367" s="12">
        <v>5.38</v>
      </c>
      <c r="E367" s="17">
        <f t="shared" si="15"/>
        <v>5380</v>
      </c>
      <c r="F367" s="12">
        <v>545.29999999999995</v>
      </c>
      <c r="G367" s="7">
        <v>20.6</v>
      </c>
      <c r="H367" s="7">
        <v>55.5</v>
      </c>
      <c r="I367" s="12">
        <v>149.5</v>
      </c>
      <c r="J367" s="13" t="s">
        <v>34</v>
      </c>
      <c r="K367" s="13" t="s">
        <v>36</v>
      </c>
      <c r="L367">
        <v>73</v>
      </c>
      <c r="M367">
        <v>8614</v>
      </c>
      <c r="N367" s="15">
        <f>O367/100</f>
        <v>0.75700000000000001</v>
      </c>
      <c r="O367" s="14">
        <v>75.7</v>
      </c>
      <c r="P367">
        <v>60.9</v>
      </c>
      <c r="Q367">
        <v>0.78</v>
      </c>
      <c r="R367">
        <v>0.88</v>
      </c>
      <c r="S367">
        <v>0</v>
      </c>
      <c r="T367" s="15">
        <f t="shared" si="16"/>
        <v>0.3</v>
      </c>
      <c r="U367">
        <v>30</v>
      </c>
      <c r="V367">
        <v>59</v>
      </c>
      <c r="W367" s="12">
        <v>27.8</v>
      </c>
      <c r="X367" s="6">
        <v>435</v>
      </c>
      <c r="Y367" s="11">
        <f>VLOOKUP(B367,calculo!$C$5:$D$29,2,FALSE)</f>
        <v>0.12237132664292405</v>
      </c>
      <c r="Z367" s="11">
        <f>VLOOKUP(B367,calculo!$C$5:$E$29,3,FALSE)</f>
        <v>0.11557112681169279</v>
      </c>
      <c r="AA367" s="12">
        <f t="shared" si="17"/>
        <v>261.1650485436893</v>
      </c>
    </row>
    <row r="368" spans="1:27">
      <c r="A368">
        <v>2024</v>
      </c>
      <c r="B368" s="13" t="s">
        <v>64</v>
      </c>
      <c r="C368" s="13" t="s">
        <v>42</v>
      </c>
      <c r="D368" s="12">
        <v>6.04</v>
      </c>
      <c r="E368" s="17">
        <f t="shared" si="15"/>
        <v>6040</v>
      </c>
      <c r="F368" s="12">
        <v>374.8</v>
      </c>
      <c r="G368" s="7">
        <v>5.9</v>
      </c>
      <c r="H368" s="7">
        <v>17.5</v>
      </c>
      <c r="I368" s="12">
        <v>141.5</v>
      </c>
      <c r="J368" s="13" t="s">
        <v>31</v>
      </c>
      <c r="K368" s="13" t="s">
        <v>36</v>
      </c>
      <c r="L368">
        <v>101</v>
      </c>
      <c r="M368">
        <v>5050</v>
      </c>
      <c r="N368" s="15">
        <f>O368/100</f>
        <v>0.65700000000000003</v>
      </c>
      <c r="O368" s="14">
        <v>65.7</v>
      </c>
      <c r="P368">
        <v>53.1</v>
      </c>
      <c r="Q368">
        <v>0.78</v>
      </c>
      <c r="R368">
        <v>0.94</v>
      </c>
      <c r="S368">
        <v>0</v>
      </c>
      <c r="T368" s="15">
        <f t="shared" si="16"/>
        <v>0.34399999999999997</v>
      </c>
      <c r="U368">
        <v>34.4</v>
      </c>
      <c r="V368">
        <v>62</v>
      </c>
      <c r="W368" s="12">
        <v>18.2</v>
      </c>
      <c r="X368" s="6">
        <v>41</v>
      </c>
      <c r="Y368" s="11">
        <f>VLOOKUP(B368,calculo!$C$5:$D$29,2,FALSE)</f>
        <v>0.12237132664292405</v>
      </c>
      <c r="Z368" s="11">
        <f>VLOOKUP(B368,calculo!$C$5:$E$29,3,FALSE)</f>
        <v>0.11557112681169279</v>
      </c>
      <c r="AA368" s="12">
        <f t="shared" si="17"/>
        <v>1023.728813559322</v>
      </c>
    </row>
    <row r="369" spans="1:27">
      <c r="A369">
        <v>2025</v>
      </c>
      <c r="B369" s="13" t="s">
        <v>64</v>
      </c>
      <c r="C369" s="13" t="s">
        <v>42</v>
      </c>
      <c r="D369" s="12">
        <v>6.78</v>
      </c>
      <c r="E369" s="17">
        <f t="shared" si="15"/>
        <v>6780</v>
      </c>
      <c r="F369" s="12">
        <v>846.9</v>
      </c>
      <c r="G369" s="7">
        <v>55.2</v>
      </c>
      <c r="H369" s="7">
        <v>94.8</v>
      </c>
      <c r="I369" s="12">
        <v>57.9</v>
      </c>
      <c r="J369" s="13" t="s">
        <v>35</v>
      </c>
      <c r="K369" s="13" t="s">
        <v>36</v>
      </c>
      <c r="L369">
        <v>118</v>
      </c>
      <c r="M369">
        <v>18290</v>
      </c>
      <c r="N369" s="15">
        <f>O369/100</f>
        <v>0.53700000000000003</v>
      </c>
      <c r="O369" s="14">
        <v>53.7</v>
      </c>
      <c r="P369">
        <v>58.9</v>
      </c>
      <c r="Q369">
        <v>0.85</v>
      </c>
      <c r="R369">
        <v>1</v>
      </c>
      <c r="S369">
        <v>0</v>
      </c>
      <c r="T369" s="15">
        <f t="shared" si="16"/>
        <v>0.36599999999999999</v>
      </c>
      <c r="U369">
        <v>36.6</v>
      </c>
      <c r="V369">
        <v>65</v>
      </c>
      <c r="W369" s="12">
        <v>25.8</v>
      </c>
      <c r="X369" s="6">
        <v>122</v>
      </c>
      <c r="Y369" s="11">
        <f>VLOOKUP(B369,calculo!$C$5:$D$29,2,FALSE)</f>
        <v>0.12237132664292405</v>
      </c>
      <c r="Z369" s="11">
        <f>VLOOKUP(B369,calculo!$C$5:$E$29,3,FALSE)</f>
        <v>0.11557112681169279</v>
      </c>
      <c r="AA369" s="12">
        <f t="shared" si="17"/>
        <v>122.82608695652173</v>
      </c>
    </row>
    <row r="370" spans="1:27">
      <c r="A370">
        <v>2010</v>
      </c>
      <c r="B370" s="13" t="s">
        <v>65</v>
      </c>
      <c r="C370" s="13" t="s">
        <v>38</v>
      </c>
      <c r="D370" s="12">
        <v>7.22</v>
      </c>
      <c r="E370" s="17">
        <f t="shared" si="15"/>
        <v>7220</v>
      </c>
      <c r="F370" s="12">
        <v>986.1</v>
      </c>
      <c r="G370" s="7">
        <v>2.6</v>
      </c>
      <c r="H370" s="7">
        <v>7.9</v>
      </c>
      <c r="I370" s="12">
        <v>85.3</v>
      </c>
      <c r="J370" s="13" t="s">
        <v>33</v>
      </c>
      <c r="K370" s="13" t="s">
        <v>32</v>
      </c>
      <c r="L370">
        <v>71</v>
      </c>
      <c r="M370">
        <v>8520</v>
      </c>
      <c r="N370" s="15">
        <f>O370/100</f>
        <v>0.84</v>
      </c>
      <c r="O370" s="14">
        <v>84</v>
      </c>
      <c r="P370">
        <v>43.6</v>
      </c>
      <c r="Q370">
        <v>0.16</v>
      </c>
      <c r="R370">
        <v>0.1</v>
      </c>
      <c r="S370">
        <v>0</v>
      </c>
      <c r="T370" s="15">
        <f t="shared" si="16"/>
        <v>0.10099999999999999</v>
      </c>
      <c r="U370">
        <v>10.1</v>
      </c>
      <c r="V370">
        <v>20</v>
      </c>
      <c r="W370" s="12">
        <v>19.2</v>
      </c>
      <c r="X370" s="6">
        <v>202</v>
      </c>
      <c r="Y370" s="11">
        <f>VLOOKUP(B370,calculo!$C$5:$D$29,2,FALSE)</f>
        <v>0.18510182633206851</v>
      </c>
      <c r="Z370" s="11">
        <f>VLOOKUP(B370,calculo!$C$5:$E$29,3,FALSE)</f>
        <v>0.17654474695909106</v>
      </c>
      <c r="AA370" s="12">
        <f t="shared" si="17"/>
        <v>2776.9230769230767</v>
      </c>
    </row>
    <row r="371" spans="1:27">
      <c r="A371">
        <v>2011</v>
      </c>
      <c r="B371" s="13" t="s">
        <v>65</v>
      </c>
      <c r="C371" s="13" t="s">
        <v>38</v>
      </c>
      <c r="D371" s="12">
        <v>8.5500000000000007</v>
      </c>
      <c r="E371" s="17">
        <f t="shared" si="15"/>
        <v>8550</v>
      </c>
      <c r="F371" s="12">
        <v>1166</v>
      </c>
      <c r="G371" s="7">
        <v>17.5</v>
      </c>
      <c r="H371" s="7">
        <v>44.9</v>
      </c>
      <c r="I371" s="12">
        <v>133.1</v>
      </c>
      <c r="J371" s="13" t="s">
        <v>34</v>
      </c>
      <c r="K371" s="13" t="s">
        <v>30</v>
      </c>
      <c r="L371">
        <v>51</v>
      </c>
      <c r="M371">
        <v>6375</v>
      </c>
      <c r="N371" s="15">
        <f>O371/100</f>
        <v>0.65200000000000002</v>
      </c>
      <c r="O371" s="14">
        <v>65.2</v>
      </c>
      <c r="P371">
        <v>87.1</v>
      </c>
      <c r="Q371">
        <v>0.09</v>
      </c>
      <c r="R371">
        <v>0.16</v>
      </c>
      <c r="S371">
        <v>0</v>
      </c>
      <c r="T371" s="15">
        <f t="shared" si="16"/>
        <v>0.13500000000000001</v>
      </c>
      <c r="U371">
        <v>13.5</v>
      </c>
      <c r="V371">
        <v>23</v>
      </c>
      <c r="W371" s="12">
        <v>19.8</v>
      </c>
      <c r="X371" s="6">
        <v>431</v>
      </c>
      <c r="Y371" s="11">
        <f>VLOOKUP(B371,calculo!$C$5:$D$29,2,FALSE)</f>
        <v>0.18510182633206851</v>
      </c>
      <c r="Z371" s="11">
        <f>VLOOKUP(B371,calculo!$C$5:$E$29,3,FALSE)</f>
        <v>0.17654474695909106</v>
      </c>
      <c r="AA371" s="12">
        <f t="shared" si="17"/>
        <v>488.57142857142856</v>
      </c>
    </row>
    <row r="372" spans="1:27">
      <c r="A372">
        <v>2012</v>
      </c>
      <c r="B372" s="13" t="s">
        <v>65</v>
      </c>
      <c r="C372" s="13" t="s">
        <v>38</v>
      </c>
      <c r="D372" s="12">
        <v>10.14</v>
      </c>
      <c r="E372" s="17">
        <f t="shared" si="15"/>
        <v>10140</v>
      </c>
      <c r="F372" s="12">
        <v>694.4</v>
      </c>
      <c r="G372" s="7">
        <v>26.8</v>
      </c>
      <c r="H372" s="7">
        <v>43.5</v>
      </c>
      <c r="I372" s="12">
        <v>56.9</v>
      </c>
      <c r="J372" s="13" t="s">
        <v>34</v>
      </c>
      <c r="K372" s="13" t="s">
        <v>30</v>
      </c>
      <c r="L372">
        <v>66</v>
      </c>
      <c r="M372">
        <v>5214</v>
      </c>
      <c r="N372" s="15">
        <f>O372/100</f>
        <v>0.72199999999999998</v>
      </c>
      <c r="O372" s="14">
        <v>72.2</v>
      </c>
      <c r="P372">
        <v>49.8</v>
      </c>
      <c r="Q372">
        <v>0.11</v>
      </c>
      <c r="R372">
        <v>0.22</v>
      </c>
      <c r="S372">
        <v>0</v>
      </c>
      <c r="T372" s="15">
        <f t="shared" si="16"/>
        <v>0.111</v>
      </c>
      <c r="U372">
        <v>11.1</v>
      </c>
      <c r="V372">
        <v>26</v>
      </c>
      <c r="W372" s="12">
        <v>17.100000000000001</v>
      </c>
      <c r="X372" s="6">
        <v>107</v>
      </c>
      <c r="Y372" s="11">
        <f>VLOOKUP(B372,calculo!$C$5:$D$29,2,FALSE)</f>
        <v>0.18510182633206851</v>
      </c>
      <c r="Z372" s="11">
        <f>VLOOKUP(B372,calculo!$C$5:$E$29,3,FALSE)</f>
        <v>0.17654474695909106</v>
      </c>
      <c r="AA372" s="12">
        <f t="shared" si="17"/>
        <v>378.35820895522386</v>
      </c>
    </row>
    <row r="373" spans="1:27">
      <c r="A373">
        <v>2013</v>
      </c>
      <c r="B373" s="13" t="s">
        <v>65</v>
      </c>
      <c r="C373" s="13" t="s">
        <v>38</v>
      </c>
      <c r="D373" s="12">
        <v>12.02</v>
      </c>
      <c r="E373" s="17">
        <f t="shared" si="15"/>
        <v>12020</v>
      </c>
      <c r="F373" s="12">
        <v>1452.5</v>
      </c>
      <c r="G373" s="7">
        <v>59.6</v>
      </c>
      <c r="H373" s="7">
        <v>127</v>
      </c>
      <c r="I373" s="12">
        <v>110.9</v>
      </c>
      <c r="J373" s="13" t="s">
        <v>34</v>
      </c>
      <c r="K373" s="13" t="s">
        <v>32</v>
      </c>
      <c r="L373">
        <v>83</v>
      </c>
      <c r="M373">
        <v>13197</v>
      </c>
      <c r="N373" s="15">
        <f>O373/100</f>
        <v>0.55600000000000005</v>
      </c>
      <c r="O373" s="14">
        <v>55.6</v>
      </c>
      <c r="P373">
        <v>30.3</v>
      </c>
      <c r="Q373">
        <v>0.08</v>
      </c>
      <c r="R373">
        <v>0.28000000000000003</v>
      </c>
      <c r="S373">
        <v>0</v>
      </c>
      <c r="T373" s="15">
        <f t="shared" si="16"/>
        <v>0.16899999999999998</v>
      </c>
      <c r="U373">
        <v>16.899999999999999</v>
      </c>
      <c r="V373">
        <v>29</v>
      </c>
      <c r="W373" s="12">
        <v>31.5</v>
      </c>
      <c r="X373" s="6">
        <v>300</v>
      </c>
      <c r="Y373" s="11">
        <f>VLOOKUP(B373,calculo!$C$5:$D$29,2,FALSE)</f>
        <v>0.18510182633206851</v>
      </c>
      <c r="Z373" s="11">
        <f>VLOOKUP(B373,calculo!$C$5:$E$29,3,FALSE)</f>
        <v>0.17654474695909106</v>
      </c>
      <c r="AA373" s="12">
        <f t="shared" si="17"/>
        <v>201.6778523489933</v>
      </c>
    </row>
    <row r="374" spans="1:27">
      <c r="A374">
        <v>2014</v>
      </c>
      <c r="B374" s="13" t="s">
        <v>65</v>
      </c>
      <c r="C374" s="13" t="s">
        <v>38</v>
      </c>
      <c r="D374" s="12">
        <v>14.24</v>
      </c>
      <c r="E374" s="17">
        <f t="shared" si="15"/>
        <v>14240</v>
      </c>
      <c r="F374" s="12">
        <v>1762.7</v>
      </c>
      <c r="G374" s="7">
        <v>10.1</v>
      </c>
      <c r="H374" s="7">
        <v>23.9</v>
      </c>
      <c r="I374" s="12">
        <v>87.9</v>
      </c>
      <c r="J374" s="13" t="s">
        <v>31</v>
      </c>
      <c r="K374" s="13" t="s">
        <v>30</v>
      </c>
      <c r="L374">
        <v>30</v>
      </c>
      <c r="M374">
        <v>3870</v>
      </c>
      <c r="N374" s="15">
        <f>O374/100</f>
        <v>0.72599999999999998</v>
      </c>
      <c r="O374" s="14">
        <v>72.599999999999994</v>
      </c>
      <c r="P374">
        <v>26.1</v>
      </c>
      <c r="Q374">
        <v>0.1</v>
      </c>
      <c r="R374">
        <v>0.34</v>
      </c>
      <c r="S374">
        <v>0</v>
      </c>
      <c r="T374" s="15">
        <f t="shared" si="16"/>
        <v>0.14099999999999999</v>
      </c>
      <c r="U374">
        <v>14.1</v>
      </c>
      <c r="V374">
        <v>32</v>
      </c>
      <c r="W374" s="12">
        <v>5.4</v>
      </c>
      <c r="X374" s="6">
        <v>196</v>
      </c>
      <c r="Y374" s="11">
        <f>VLOOKUP(B374,calculo!$C$5:$D$29,2,FALSE)</f>
        <v>0.18510182633206851</v>
      </c>
      <c r="Z374" s="11">
        <f>VLOOKUP(B374,calculo!$C$5:$E$29,3,FALSE)</f>
        <v>0.17654474695909106</v>
      </c>
      <c r="AA374" s="12">
        <f t="shared" si="17"/>
        <v>1409.90099009901</v>
      </c>
    </row>
    <row r="375" spans="1:27">
      <c r="A375">
        <v>2015</v>
      </c>
      <c r="B375" s="13" t="s">
        <v>65</v>
      </c>
      <c r="C375" s="13" t="s">
        <v>38</v>
      </c>
      <c r="D375" s="12">
        <v>16.88</v>
      </c>
      <c r="E375" s="17">
        <f t="shared" si="15"/>
        <v>16880</v>
      </c>
      <c r="F375" s="12">
        <v>1323.4</v>
      </c>
      <c r="G375" s="7">
        <v>18.8</v>
      </c>
      <c r="H375" s="7">
        <v>42.3</v>
      </c>
      <c r="I375" s="12">
        <v>77.2</v>
      </c>
      <c r="J375" s="13" t="s">
        <v>34</v>
      </c>
      <c r="K375" s="13" t="s">
        <v>30</v>
      </c>
      <c r="L375">
        <v>82</v>
      </c>
      <c r="M375">
        <v>5330</v>
      </c>
      <c r="N375" s="15">
        <f>O375/100</f>
        <v>0.57499999999999996</v>
      </c>
      <c r="O375" s="14">
        <v>57.5</v>
      </c>
      <c r="P375">
        <v>48.3</v>
      </c>
      <c r="Q375">
        <v>0.09</v>
      </c>
      <c r="R375">
        <v>0.4</v>
      </c>
      <c r="S375">
        <v>0</v>
      </c>
      <c r="T375" s="15">
        <f t="shared" si="16"/>
        <v>0.188</v>
      </c>
      <c r="U375">
        <v>18.8</v>
      </c>
      <c r="V375">
        <v>35</v>
      </c>
      <c r="W375" s="12">
        <v>15.6</v>
      </c>
      <c r="X375" s="6">
        <v>494</v>
      </c>
      <c r="Y375" s="11">
        <f>VLOOKUP(B375,calculo!$C$5:$D$29,2,FALSE)</f>
        <v>0.18510182633206851</v>
      </c>
      <c r="Z375" s="11">
        <f>VLOOKUP(B375,calculo!$C$5:$E$29,3,FALSE)</f>
        <v>0.17654474695909106</v>
      </c>
      <c r="AA375" s="12">
        <f t="shared" si="17"/>
        <v>897.87234042553189</v>
      </c>
    </row>
    <row r="376" spans="1:27">
      <c r="A376">
        <v>2016</v>
      </c>
      <c r="B376" s="13" t="s">
        <v>65</v>
      </c>
      <c r="C376" s="13" t="s">
        <v>38</v>
      </c>
      <c r="D376" s="12">
        <v>20</v>
      </c>
      <c r="E376" s="17">
        <f t="shared" si="15"/>
        <v>20000</v>
      </c>
      <c r="F376" s="12">
        <v>1822.4</v>
      </c>
      <c r="G376" s="7">
        <v>40.5</v>
      </c>
      <c r="H376" s="7">
        <v>70.3</v>
      </c>
      <c r="I376" s="12">
        <v>78.2</v>
      </c>
      <c r="J376" s="13" t="s">
        <v>35</v>
      </c>
      <c r="K376" s="13" t="s">
        <v>32</v>
      </c>
      <c r="L376">
        <v>87</v>
      </c>
      <c r="M376">
        <v>16965</v>
      </c>
      <c r="N376" s="15">
        <f>O376/100</f>
        <v>0.92799999999999994</v>
      </c>
      <c r="O376" s="14">
        <v>92.8</v>
      </c>
      <c r="P376">
        <v>40.700000000000003</v>
      </c>
      <c r="Q376">
        <v>0.2</v>
      </c>
      <c r="R376">
        <v>0.46</v>
      </c>
      <c r="S376">
        <v>0</v>
      </c>
      <c r="T376" s="15">
        <f t="shared" si="16"/>
        <v>0.22</v>
      </c>
      <c r="U376">
        <v>22</v>
      </c>
      <c r="V376">
        <v>38</v>
      </c>
      <c r="W376" s="12">
        <v>17.8</v>
      </c>
      <c r="X376" s="6">
        <v>344</v>
      </c>
      <c r="Y376" s="11">
        <f>VLOOKUP(B376,calculo!$C$5:$D$29,2,FALSE)</f>
        <v>0.18510182633206851</v>
      </c>
      <c r="Z376" s="11">
        <f>VLOOKUP(B376,calculo!$C$5:$E$29,3,FALSE)</f>
        <v>0.17654474695909106</v>
      </c>
      <c r="AA376" s="12">
        <f t="shared" si="17"/>
        <v>493.82716049382714</v>
      </c>
    </row>
    <row r="377" spans="1:27">
      <c r="A377">
        <v>2017</v>
      </c>
      <c r="B377" s="13" t="s">
        <v>65</v>
      </c>
      <c r="C377" s="13" t="s">
        <v>38</v>
      </c>
      <c r="D377" s="12">
        <v>23.7</v>
      </c>
      <c r="E377" s="17">
        <f t="shared" si="15"/>
        <v>23700</v>
      </c>
      <c r="F377" s="12">
        <v>1287.2</v>
      </c>
      <c r="G377" s="7">
        <v>12.4</v>
      </c>
      <c r="H377" s="7">
        <v>28.3</v>
      </c>
      <c r="I377" s="12">
        <v>143.69999999999999</v>
      </c>
      <c r="J377" s="13" t="s">
        <v>35</v>
      </c>
      <c r="K377" s="13" t="s">
        <v>32</v>
      </c>
      <c r="L377">
        <v>65</v>
      </c>
      <c r="M377">
        <v>11635</v>
      </c>
      <c r="N377" s="15">
        <f>O377/100</f>
        <v>0.77900000000000003</v>
      </c>
      <c r="O377" s="14">
        <v>77.900000000000006</v>
      </c>
      <c r="P377">
        <v>60.8</v>
      </c>
      <c r="Q377">
        <v>0.25</v>
      </c>
      <c r="R377">
        <v>0.52</v>
      </c>
      <c r="S377">
        <v>0</v>
      </c>
      <c r="T377" s="15">
        <f t="shared" si="16"/>
        <v>0.22500000000000001</v>
      </c>
      <c r="U377">
        <v>22.5</v>
      </c>
      <c r="V377">
        <v>41</v>
      </c>
      <c r="W377" s="12">
        <v>22.2</v>
      </c>
      <c r="X377" s="6">
        <v>422</v>
      </c>
      <c r="Y377" s="11">
        <f>VLOOKUP(B377,calculo!$C$5:$D$29,2,FALSE)</f>
        <v>0.18510182633206851</v>
      </c>
      <c r="Z377" s="11">
        <f>VLOOKUP(B377,calculo!$C$5:$E$29,3,FALSE)</f>
        <v>0.17654474695909106</v>
      </c>
      <c r="AA377" s="12">
        <f t="shared" si="17"/>
        <v>1911.2903225806451</v>
      </c>
    </row>
    <row r="378" spans="1:27">
      <c r="A378">
        <v>2018</v>
      </c>
      <c r="B378" s="13" t="s">
        <v>65</v>
      </c>
      <c r="C378" s="13" t="s">
        <v>38</v>
      </c>
      <c r="D378" s="12">
        <v>28.09</v>
      </c>
      <c r="E378" s="17">
        <f t="shared" si="15"/>
        <v>28090</v>
      </c>
      <c r="F378" s="12">
        <v>1943.8</v>
      </c>
      <c r="G378" s="7">
        <v>10.5</v>
      </c>
      <c r="H378" s="7">
        <v>35.299999999999997</v>
      </c>
      <c r="I378" s="12">
        <v>140.1</v>
      </c>
      <c r="J378" s="13" t="s">
        <v>33</v>
      </c>
      <c r="K378" s="13" t="s">
        <v>32</v>
      </c>
      <c r="L378">
        <v>7</v>
      </c>
      <c r="M378">
        <v>749</v>
      </c>
      <c r="N378" s="15">
        <f>O378/100</f>
        <v>0.53100000000000003</v>
      </c>
      <c r="O378" s="14">
        <v>53.1</v>
      </c>
      <c r="P378">
        <v>50.1</v>
      </c>
      <c r="Q378">
        <v>0.4</v>
      </c>
      <c r="R378">
        <v>0.57999999999999996</v>
      </c>
      <c r="S378">
        <v>0</v>
      </c>
      <c r="T378" s="15">
        <f t="shared" si="16"/>
        <v>0.20399999999999999</v>
      </c>
      <c r="U378">
        <v>20.399999999999999</v>
      </c>
      <c r="V378">
        <v>44</v>
      </c>
      <c r="W378" s="12">
        <v>2.1</v>
      </c>
      <c r="X378" s="6">
        <v>279</v>
      </c>
      <c r="Y378" s="11">
        <f>VLOOKUP(B378,calculo!$C$5:$D$29,2,FALSE)</f>
        <v>0.18510182633206851</v>
      </c>
      <c r="Z378" s="11">
        <f>VLOOKUP(B378,calculo!$C$5:$E$29,3,FALSE)</f>
        <v>0.17654474695909106</v>
      </c>
      <c r="AA378" s="12">
        <f t="shared" si="17"/>
        <v>2675.2380952380954</v>
      </c>
    </row>
    <row r="379" spans="1:27">
      <c r="A379">
        <v>2019</v>
      </c>
      <c r="B379" s="13" t="s">
        <v>65</v>
      </c>
      <c r="C379" s="13" t="s">
        <v>38</v>
      </c>
      <c r="D379" s="12">
        <v>33.29</v>
      </c>
      <c r="E379" s="17">
        <f t="shared" si="15"/>
        <v>33290</v>
      </c>
      <c r="F379" s="12">
        <v>3725.6</v>
      </c>
      <c r="G379" s="7">
        <v>49.8</v>
      </c>
      <c r="H379" s="7">
        <v>143.4</v>
      </c>
      <c r="I379" s="12">
        <v>96.2</v>
      </c>
      <c r="J379" s="13" t="s">
        <v>34</v>
      </c>
      <c r="K379" s="13" t="s">
        <v>32</v>
      </c>
      <c r="L379">
        <v>64</v>
      </c>
      <c r="M379">
        <v>16512</v>
      </c>
      <c r="N379" s="15">
        <f>O379/100</f>
        <v>0.79599999999999993</v>
      </c>
      <c r="O379" s="14">
        <v>79.599999999999994</v>
      </c>
      <c r="P379">
        <v>67.3</v>
      </c>
      <c r="Q379">
        <v>0.45</v>
      </c>
      <c r="R379">
        <v>0.64</v>
      </c>
      <c r="S379">
        <v>0</v>
      </c>
      <c r="T379" s="15">
        <f t="shared" si="16"/>
        <v>0.254</v>
      </c>
      <c r="U379">
        <v>25.4</v>
      </c>
      <c r="V379">
        <v>47</v>
      </c>
      <c r="W379" s="12">
        <v>16.399999999999999</v>
      </c>
      <c r="X379" s="6">
        <v>213</v>
      </c>
      <c r="Y379" s="11">
        <f>VLOOKUP(B379,calculo!$C$5:$D$29,2,FALSE)</f>
        <v>0.18510182633206851</v>
      </c>
      <c r="Z379" s="11">
        <f>VLOOKUP(B379,calculo!$C$5:$E$29,3,FALSE)</f>
        <v>0.17654474695909106</v>
      </c>
      <c r="AA379" s="12">
        <f t="shared" si="17"/>
        <v>668.47389558232931</v>
      </c>
    </row>
    <row r="380" spans="1:27">
      <c r="A380">
        <v>2020</v>
      </c>
      <c r="B380" s="13" t="s">
        <v>65</v>
      </c>
      <c r="C380" s="13" t="s">
        <v>38</v>
      </c>
      <c r="D380" s="12">
        <v>39.450000000000003</v>
      </c>
      <c r="E380" s="17">
        <f t="shared" si="15"/>
        <v>39450</v>
      </c>
      <c r="F380" s="12">
        <v>5223.3999999999996</v>
      </c>
      <c r="G380" s="7">
        <v>13.8</v>
      </c>
      <c r="H380" s="7">
        <v>33.700000000000003</v>
      </c>
      <c r="I380" s="12">
        <v>126.1</v>
      </c>
      <c r="J380" s="13" t="s">
        <v>29</v>
      </c>
      <c r="K380" s="13" t="s">
        <v>32</v>
      </c>
      <c r="L380">
        <v>6</v>
      </c>
      <c r="M380">
        <v>1056</v>
      </c>
      <c r="N380" s="15">
        <f>O380/100</f>
        <v>0.59</v>
      </c>
      <c r="O380" s="14">
        <v>59</v>
      </c>
      <c r="P380">
        <v>55.9</v>
      </c>
      <c r="Q380">
        <v>0.45</v>
      </c>
      <c r="R380">
        <v>1.1399999999999999</v>
      </c>
      <c r="S380">
        <v>0.44</v>
      </c>
      <c r="T380" s="15">
        <f t="shared" si="16"/>
        <v>0.29499999999999998</v>
      </c>
      <c r="U380">
        <v>29.5</v>
      </c>
      <c r="V380">
        <v>50</v>
      </c>
      <c r="W380" s="12">
        <v>1.1000000000000001</v>
      </c>
      <c r="X380" s="6">
        <v>456</v>
      </c>
      <c r="Y380" s="11">
        <f>VLOOKUP(B380,calculo!$C$5:$D$29,2,FALSE)</f>
        <v>0.18510182633206851</v>
      </c>
      <c r="Z380" s="11">
        <f>VLOOKUP(B380,calculo!$C$5:$E$29,3,FALSE)</f>
        <v>0.17654474695909106</v>
      </c>
      <c r="AA380" s="12">
        <f t="shared" si="17"/>
        <v>2858.695652173913</v>
      </c>
    </row>
    <row r="381" spans="1:27">
      <c r="A381">
        <v>2021</v>
      </c>
      <c r="B381" s="13" t="s">
        <v>65</v>
      </c>
      <c r="C381" s="13" t="s">
        <v>38</v>
      </c>
      <c r="D381" s="12">
        <v>46.75</v>
      </c>
      <c r="E381" s="17">
        <f t="shared" si="15"/>
        <v>46750</v>
      </c>
      <c r="F381" s="12">
        <v>4022.8</v>
      </c>
      <c r="G381" s="7">
        <v>7.1</v>
      </c>
      <c r="H381" s="7">
        <v>13.4</v>
      </c>
      <c r="I381" s="12">
        <v>95.5</v>
      </c>
      <c r="J381" s="13" t="s">
        <v>29</v>
      </c>
      <c r="K381" s="13" t="s">
        <v>36</v>
      </c>
      <c r="L381">
        <v>114</v>
      </c>
      <c r="M381">
        <v>19266</v>
      </c>
      <c r="N381" s="15">
        <f>O381/100</f>
        <v>0.503</v>
      </c>
      <c r="O381" s="14">
        <v>50.3</v>
      </c>
      <c r="P381">
        <v>61.3</v>
      </c>
      <c r="Q381">
        <v>0.6</v>
      </c>
      <c r="R381">
        <v>1.19</v>
      </c>
      <c r="S381">
        <v>0.43</v>
      </c>
      <c r="T381" s="15">
        <f t="shared" si="16"/>
        <v>0.29699999999999999</v>
      </c>
      <c r="U381">
        <v>29.7</v>
      </c>
      <c r="V381">
        <v>53</v>
      </c>
      <c r="W381" s="12">
        <v>32.6</v>
      </c>
      <c r="X381" s="6">
        <v>327</v>
      </c>
      <c r="Y381" s="11">
        <f>VLOOKUP(B381,calculo!$C$5:$D$29,2,FALSE)</f>
        <v>0.18510182633206851</v>
      </c>
      <c r="Z381" s="11">
        <f>VLOOKUP(B381,calculo!$C$5:$E$29,3,FALSE)</f>
        <v>0.17654474695909106</v>
      </c>
      <c r="AA381" s="12">
        <f t="shared" si="17"/>
        <v>6584.5070422535218</v>
      </c>
    </row>
    <row r="382" spans="1:27">
      <c r="A382">
        <v>2022</v>
      </c>
      <c r="B382" s="13" t="s">
        <v>65</v>
      </c>
      <c r="C382" s="13" t="s">
        <v>38</v>
      </c>
      <c r="D382" s="12">
        <v>55.41</v>
      </c>
      <c r="E382" s="17">
        <f t="shared" si="15"/>
        <v>55410</v>
      </c>
      <c r="F382" s="12">
        <v>3388.2</v>
      </c>
      <c r="G382" s="7">
        <v>35.1</v>
      </c>
      <c r="H382" s="7">
        <v>93.4</v>
      </c>
      <c r="I382" s="12">
        <v>115.8</v>
      </c>
      <c r="J382" s="13" t="s">
        <v>29</v>
      </c>
      <c r="K382" s="13" t="s">
        <v>30</v>
      </c>
      <c r="L382">
        <v>89</v>
      </c>
      <c r="M382">
        <v>17622</v>
      </c>
      <c r="N382" s="15">
        <f>O382/100</f>
        <v>0.74099999999999999</v>
      </c>
      <c r="O382" s="14">
        <v>74.099999999999994</v>
      </c>
      <c r="P382">
        <v>39.700000000000003</v>
      </c>
      <c r="Q382">
        <v>0.63</v>
      </c>
      <c r="R382">
        <v>0.82</v>
      </c>
      <c r="S382">
        <v>0</v>
      </c>
      <c r="T382" s="15">
        <f t="shared" si="16"/>
        <v>0.32100000000000001</v>
      </c>
      <c r="U382">
        <v>32.1</v>
      </c>
      <c r="V382">
        <v>56</v>
      </c>
      <c r="W382" s="12">
        <v>23.2</v>
      </c>
      <c r="X382" s="6">
        <v>221</v>
      </c>
      <c r="Y382" s="11">
        <f>VLOOKUP(B382,calculo!$C$5:$D$29,2,FALSE)</f>
        <v>0.18510182633206851</v>
      </c>
      <c r="Z382" s="11">
        <f>VLOOKUP(B382,calculo!$C$5:$E$29,3,FALSE)</f>
        <v>0.17654474695909106</v>
      </c>
      <c r="AA382" s="12">
        <f t="shared" si="17"/>
        <v>1578.6324786324785</v>
      </c>
    </row>
    <row r="383" spans="1:27">
      <c r="A383">
        <v>2023</v>
      </c>
      <c r="B383" s="13" t="s">
        <v>65</v>
      </c>
      <c r="C383" s="13" t="s">
        <v>38</v>
      </c>
      <c r="D383" s="12">
        <v>65.67</v>
      </c>
      <c r="E383" s="17">
        <f t="shared" si="15"/>
        <v>65670</v>
      </c>
      <c r="F383" s="12">
        <v>5726.7</v>
      </c>
      <c r="G383" s="7">
        <v>46.1</v>
      </c>
      <c r="H383" s="7">
        <v>100.3</v>
      </c>
      <c r="I383" s="12">
        <v>144.19999999999999</v>
      </c>
      <c r="J383" s="13" t="s">
        <v>34</v>
      </c>
      <c r="K383" s="13" t="s">
        <v>36</v>
      </c>
      <c r="L383">
        <v>24</v>
      </c>
      <c r="M383">
        <v>4056</v>
      </c>
      <c r="N383" s="15">
        <f>O383/100</f>
        <v>0.6409999999999999</v>
      </c>
      <c r="O383" s="14">
        <v>64.099999999999994</v>
      </c>
      <c r="P383">
        <v>62.4</v>
      </c>
      <c r="Q383">
        <v>0.73</v>
      </c>
      <c r="R383">
        <v>0.88</v>
      </c>
      <c r="S383">
        <v>0</v>
      </c>
      <c r="T383" s="15">
        <f t="shared" si="16"/>
        <v>0.32899999999999996</v>
      </c>
      <c r="U383">
        <v>32.9</v>
      </c>
      <c r="V383">
        <v>59</v>
      </c>
      <c r="W383" s="12">
        <v>7.2</v>
      </c>
      <c r="X383" s="6">
        <v>485</v>
      </c>
      <c r="Y383" s="11">
        <f>VLOOKUP(B383,calculo!$C$5:$D$29,2,FALSE)</f>
        <v>0.18510182633206851</v>
      </c>
      <c r="Z383" s="11">
        <f>VLOOKUP(B383,calculo!$C$5:$E$29,3,FALSE)</f>
        <v>0.17654474695909106</v>
      </c>
      <c r="AA383" s="12">
        <f t="shared" si="17"/>
        <v>1424.5119305856833</v>
      </c>
    </row>
    <row r="384" spans="1:27">
      <c r="A384">
        <v>2024</v>
      </c>
      <c r="B384" s="13" t="s">
        <v>65</v>
      </c>
      <c r="C384" s="13" t="s">
        <v>38</v>
      </c>
      <c r="D384" s="12">
        <v>77.819999999999993</v>
      </c>
      <c r="E384" s="17">
        <f t="shared" si="15"/>
        <v>77820</v>
      </c>
      <c r="F384" s="12">
        <v>11044.8</v>
      </c>
      <c r="G384" s="7">
        <v>26.6</v>
      </c>
      <c r="H384" s="7">
        <v>58.1</v>
      </c>
      <c r="I384" s="12">
        <v>145.4</v>
      </c>
      <c r="J384" s="13" t="s">
        <v>33</v>
      </c>
      <c r="K384" s="13" t="s">
        <v>36</v>
      </c>
      <c r="L384">
        <v>86</v>
      </c>
      <c r="M384">
        <v>23478</v>
      </c>
      <c r="N384" s="15">
        <f>O384/100</f>
        <v>0.90900000000000003</v>
      </c>
      <c r="O384" s="14">
        <v>90.9</v>
      </c>
      <c r="P384">
        <v>67.7</v>
      </c>
      <c r="Q384">
        <v>0.86</v>
      </c>
      <c r="R384">
        <v>0.94</v>
      </c>
      <c r="S384">
        <v>0</v>
      </c>
      <c r="T384" s="15">
        <f t="shared" si="16"/>
        <v>0.317</v>
      </c>
      <c r="U384">
        <v>31.7</v>
      </c>
      <c r="V384">
        <v>62</v>
      </c>
      <c r="W384" s="12">
        <v>23.4</v>
      </c>
      <c r="X384" s="6">
        <v>426</v>
      </c>
      <c r="Y384" s="11">
        <f>VLOOKUP(B384,calculo!$C$5:$D$29,2,FALSE)</f>
        <v>0.18510182633206851</v>
      </c>
      <c r="Z384" s="11">
        <f>VLOOKUP(B384,calculo!$C$5:$E$29,3,FALSE)</f>
        <v>0.17654474695909106</v>
      </c>
      <c r="AA384" s="12">
        <f t="shared" si="17"/>
        <v>2925.5639097744361</v>
      </c>
    </row>
    <row r="385" spans="1:27">
      <c r="A385">
        <v>2025</v>
      </c>
      <c r="B385" s="13" t="s">
        <v>65</v>
      </c>
      <c r="C385" s="13" t="s">
        <v>38</v>
      </c>
      <c r="D385" s="12">
        <v>92.23</v>
      </c>
      <c r="E385" s="17">
        <f t="shared" si="15"/>
        <v>92230</v>
      </c>
      <c r="F385" s="12">
        <v>11299.2</v>
      </c>
      <c r="G385" s="7">
        <v>48.2</v>
      </c>
      <c r="H385" s="7">
        <v>152.5</v>
      </c>
      <c r="I385" s="12">
        <v>148.30000000000001</v>
      </c>
      <c r="J385" s="13" t="s">
        <v>31</v>
      </c>
      <c r="K385" s="13" t="s">
        <v>36</v>
      </c>
      <c r="L385">
        <v>104</v>
      </c>
      <c r="M385">
        <v>17264</v>
      </c>
      <c r="N385" s="15">
        <f>O385/100</f>
        <v>0.83499999999999996</v>
      </c>
      <c r="O385" s="14">
        <v>83.5</v>
      </c>
      <c r="P385">
        <v>58.4</v>
      </c>
      <c r="Q385">
        <v>0.81</v>
      </c>
      <c r="R385">
        <v>1</v>
      </c>
      <c r="S385">
        <v>0</v>
      </c>
      <c r="T385" s="15">
        <f t="shared" si="16"/>
        <v>0.33700000000000002</v>
      </c>
      <c r="U385">
        <v>33.700000000000003</v>
      </c>
      <c r="V385">
        <v>65</v>
      </c>
      <c r="W385" s="12">
        <v>31.2</v>
      </c>
      <c r="X385" s="6">
        <v>34</v>
      </c>
      <c r="Y385" s="11">
        <f>VLOOKUP(B385,calculo!$C$5:$D$29,2,FALSE)</f>
        <v>0.18510182633206851</v>
      </c>
      <c r="Z385" s="11">
        <f>VLOOKUP(B385,calculo!$C$5:$E$29,3,FALSE)</f>
        <v>0.17654474695909106</v>
      </c>
      <c r="AA385" s="12">
        <f t="shared" si="17"/>
        <v>1913.485477178423</v>
      </c>
    </row>
    <row r="386" spans="1:27">
      <c r="A386">
        <v>2010</v>
      </c>
      <c r="B386" s="13" t="s">
        <v>66</v>
      </c>
      <c r="C386" s="13" t="s">
        <v>38</v>
      </c>
      <c r="D386" s="12">
        <v>6.63</v>
      </c>
      <c r="E386" s="17">
        <f t="shared" si="15"/>
        <v>6630</v>
      </c>
      <c r="F386" s="12">
        <v>567.9</v>
      </c>
      <c r="G386" s="7">
        <v>38.799999999999997</v>
      </c>
      <c r="H386" s="7">
        <v>72.7</v>
      </c>
      <c r="I386" s="12">
        <v>119.9</v>
      </c>
      <c r="J386" s="13" t="s">
        <v>35</v>
      </c>
      <c r="K386" s="13" t="s">
        <v>30</v>
      </c>
      <c r="L386">
        <v>47</v>
      </c>
      <c r="M386">
        <v>9541</v>
      </c>
      <c r="N386" s="15">
        <f>O386/100</f>
        <v>0.51200000000000001</v>
      </c>
      <c r="O386" s="14">
        <v>51.2</v>
      </c>
      <c r="P386">
        <v>53.5</v>
      </c>
      <c r="Q386">
        <v>0.18</v>
      </c>
      <c r="R386">
        <v>0.1</v>
      </c>
      <c r="S386">
        <v>0</v>
      </c>
      <c r="T386" s="15">
        <f t="shared" si="16"/>
        <v>9.4E-2</v>
      </c>
      <c r="U386">
        <v>9.4</v>
      </c>
      <c r="V386">
        <v>20</v>
      </c>
      <c r="W386" s="12">
        <v>9.4</v>
      </c>
      <c r="X386" s="6">
        <v>460</v>
      </c>
      <c r="Y386" s="11">
        <f>VLOOKUP(B386,calculo!$C$5:$D$29,2,FALSE)</f>
        <v>0.18470611748339616</v>
      </c>
      <c r="Z386" s="11">
        <f>VLOOKUP(B386,calculo!$C$5:$E$29,3,FALSE)</f>
        <v>0.20328326597088675</v>
      </c>
      <c r="AA386" s="12">
        <f t="shared" si="17"/>
        <v>170.87628865979383</v>
      </c>
    </row>
    <row r="387" spans="1:27">
      <c r="A387">
        <v>2011</v>
      </c>
      <c r="B387" s="13" t="s">
        <v>66</v>
      </c>
      <c r="C387" s="13" t="s">
        <v>38</v>
      </c>
      <c r="D387" s="12">
        <v>7.85</v>
      </c>
      <c r="E387" s="17">
        <f t="shared" ref="E387:E401" si="18">D387*1000</f>
        <v>7850</v>
      </c>
      <c r="F387" s="12">
        <v>765.5</v>
      </c>
      <c r="G387" s="7">
        <v>54.1</v>
      </c>
      <c r="H387" s="7">
        <v>137.9</v>
      </c>
      <c r="I387" s="12">
        <v>114.9</v>
      </c>
      <c r="J387" s="13" t="s">
        <v>33</v>
      </c>
      <c r="K387" s="13" t="s">
        <v>36</v>
      </c>
      <c r="L387">
        <v>92</v>
      </c>
      <c r="M387">
        <v>16100</v>
      </c>
      <c r="N387" s="15">
        <f>O387/100</f>
        <v>0.59299999999999997</v>
      </c>
      <c r="O387" s="14">
        <v>59.3</v>
      </c>
      <c r="P387">
        <v>25.1</v>
      </c>
      <c r="Q387">
        <v>0.1</v>
      </c>
      <c r="R387">
        <v>0.16</v>
      </c>
      <c r="S387">
        <v>0</v>
      </c>
      <c r="T387" s="15">
        <f t="shared" ref="T387:T401" si="19">U387/100</f>
        <v>0.128</v>
      </c>
      <c r="U387">
        <v>12.8</v>
      </c>
      <c r="V387">
        <v>23</v>
      </c>
      <c r="W387" s="12">
        <v>24.1</v>
      </c>
      <c r="X387" s="6">
        <v>75</v>
      </c>
      <c r="Y387" s="11">
        <f>VLOOKUP(B387,calculo!$C$5:$D$29,2,FALSE)</f>
        <v>0.18470611748339616</v>
      </c>
      <c r="Z387" s="11">
        <f>VLOOKUP(B387,calculo!$C$5:$E$29,3,FALSE)</f>
        <v>0.20328326597088675</v>
      </c>
      <c r="AA387" s="12">
        <f t="shared" ref="AA387:AA401" si="20">E387/G387</f>
        <v>145.10166358595194</v>
      </c>
    </row>
    <row r="388" spans="1:27">
      <c r="A388">
        <v>2012</v>
      </c>
      <c r="B388" s="13" t="s">
        <v>66</v>
      </c>
      <c r="C388" s="13" t="s">
        <v>38</v>
      </c>
      <c r="D388" s="12">
        <v>9.3000000000000007</v>
      </c>
      <c r="E388" s="17">
        <f t="shared" si="18"/>
        <v>9300</v>
      </c>
      <c r="F388" s="12">
        <v>775.4</v>
      </c>
      <c r="G388" s="7">
        <v>24.5</v>
      </c>
      <c r="H388" s="7">
        <v>43.5</v>
      </c>
      <c r="I388" s="12">
        <v>118.6</v>
      </c>
      <c r="J388" s="13" t="s">
        <v>31</v>
      </c>
      <c r="K388" s="13" t="s">
        <v>30</v>
      </c>
      <c r="L388">
        <v>24</v>
      </c>
      <c r="M388">
        <v>5664</v>
      </c>
      <c r="N388" s="15">
        <f>O388/100</f>
        <v>0.88500000000000001</v>
      </c>
      <c r="O388" s="14">
        <v>88.5</v>
      </c>
      <c r="P388">
        <v>56.4</v>
      </c>
      <c r="Q388">
        <v>0.1</v>
      </c>
      <c r="R388">
        <v>0.22</v>
      </c>
      <c r="S388">
        <v>0</v>
      </c>
      <c r="T388" s="15">
        <f t="shared" si="19"/>
        <v>0.13100000000000001</v>
      </c>
      <c r="U388">
        <v>13.1</v>
      </c>
      <c r="V388">
        <v>26</v>
      </c>
      <c r="W388" s="12">
        <v>9.1999999999999993</v>
      </c>
      <c r="X388" s="6">
        <v>348</v>
      </c>
      <c r="Y388" s="11">
        <f>VLOOKUP(B388,calculo!$C$5:$D$29,2,FALSE)</f>
        <v>0.18470611748339616</v>
      </c>
      <c r="Z388" s="11">
        <f>VLOOKUP(B388,calculo!$C$5:$E$29,3,FALSE)</f>
        <v>0.20328326597088675</v>
      </c>
      <c r="AA388" s="12">
        <f t="shared" si="20"/>
        <v>379.59183673469386</v>
      </c>
    </row>
    <row r="389" spans="1:27">
      <c r="A389">
        <v>2013</v>
      </c>
      <c r="B389" s="13" t="s">
        <v>66</v>
      </c>
      <c r="C389" s="13" t="s">
        <v>38</v>
      </c>
      <c r="D389" s="12">
        <v>11.02</v>
      </c>
      <c r="E389" s="17">
        <f t="shared" si="18"/>
        <v>11020</v>
      </c>
      <c r="F389" s="12">
        <v>626.4</v>
      </c>
      <c r="G389" s="7">
        <v>54</v>
      </c>
      <c r="H389" s="7">
        <v>94</v>
      </c>
      <c r="I389" s="12">
        <v>69.3</v>
      </c>
      <c r="J389" s="13" t="s">
        <v>34</v>
      </c>
      <c r="K389" s="13" t="s">
        <v>30</v>
      </c>
      <c r="L389">
        <v>98</v>
      </c>
      <c r="M389">
        <v>16268</v>
      </c>
      <c r="N389" s="15">
        <f>O389/100</f>
        <v>0.59299999999999997</v>
      </c>
      <c r="O389" s="14">
        <v>59.3</v>
      </c>
      <c r="P389">
        <v>88.9</v>
      </c>
      <c r="Q389">
        <v>0.16</v>
      </c>
      <c r="R389">
        <v>0.28000000000000003</v>
      </c>
      <c r="S389">
        <v>0</v>
      </c>
      <c r="T389" s="15">
        <f t="shared" si="19"/>
        <v>0.12300000000000001</v>
      </c>
      <c r="U389">
        <v>12.3</v>
      </c>
      <c r="V389">
        <v>29</v>
      </c>
      <c r="W389" s="12">
        <v>24.3</v>
      </c>
      <c r="X389" s="6">
        <v>366</v>
      </c>
      <c r="Y389" s="11">
        <f>VLOOKUP(B389,calculo!$C$5:$D$29,2,FALSE)</f>
        <v>0.18470611748339616</v>
      </c>
      <c r="Z389" s="11">
        <f>VLOOKUP(B389,calculo!$C$5:$E$29,3,FALSE)</f>
        <v>0.20328326597088675</v>
      </c>
      <c r="AA389" s="12">
        <f t="shared" si="20"/>
        <v>204.07407407407408</v>
      </c>
    </row>
    <row r="390" spans="1:27">
      <c r="A390">
        <v>2014</v>
      </c>
      <c r="B390" s="13" t="s">
        <v>66</v>
      </c>
      <c r="C390" s="13" t="s">
        <v>38</v>
      </c>
      <c r="D390" s="12">
        <v>13.06</v>
      </c>
      <c r="E390" s="17">
        <f t="shared" si="18"/>
        <v>13060</v>
      </c>
      <c r="F390" s="12">
        <v>890.1</v>
      </c>
      <c r="G390" s="7">
        <v>27</v>
      </c>
      <c r="H390" s="7">
        <v>49.4</v>
      </c>
      <c r="I390" s="12">
        <v>114.8</v>
      </c>
      <c r="J390" s="13" t="s">
        <v>29</v>
      </c>
      <c r="K390" s="13" t="s">
        <v>30</v>
      </c>
      <c r="L390">
        <v>41</v>
      </c>
      <c r="M390">
        <v>2378</v>
      </c>
      <c r="N390" s="15">
        <f>O390/100</f>
        <v>0.59499999999999997</v>
      </c>
      <c r="O390" s="14">
        <v>59.5</v>
      </c>
      <c r="P390">
        <v>28.1</v>
      </c>
      <c r="Q390">
        <v>0.13</v>
      </c>
      <c r="R390">
        <v>0.34</v>
      </c>
      <c r="S390">
        <v>0</v>
      </c>
      <c r="T390" s="15">
        <f t="shared" si="19"/>
        <v>0.17499999999999999</v>
      </c>
      <c r="U390">
        <v>17.5</v>
      </c>
      <c r="V390">
        <v>32</v>
      </c>
      <c r="W390" s="12">
        <v>12.7</v>
      </c>
      <c r="X390" s="6">
        <v>158</v>
      </c>
      <c r="Y390" s="11">
        <f>VLOOKUP(B390,calculo!$C$5:$D$29,2,FALSE)</f>
        <v>0.18470611748339616</v>
      </c>
      <c r="Z390" s="11">
        <f>VLOOKUP(B390,calculo!$C$5:$E$29,3,FALSE)</f>
        <v>0.20328326597088675</v>
      </c>
      <c r="AA390" s="12">
        <f t="shared" si="20"/>
        <v>483.7037037037037</v>
      </c>
    </row>
    <row r="391" spans="1:27">
      <c r="A391">
        <v>2015</v>
      </c>
      <c r="B391" s="13" t="s">
        <v>66</v>
      </c>
      <c r="C391" s="13" t="s">
        <v>38</v>
      </c>
      <c r="D391" s="12">
        <v>15.47</v>
      </c>
      <c r="E391" s="17">
        <f t="shared" si="18"/>
        <v>15470</v>
      </c>
      <c r="F391" s="12">
        <v>2209.6</v>
      </c>
      <c r="G391" s="7">
        <v>44.8</v>
      </c>
      <c r="H391" s="7">
        <v>94.7</v>
      </c>
      <c r="I391" s="12">
        <v>61.8</v>
      </c>
      <c r="J391" s="13" t="s">
        <v>33</v>
      </c>
      <c r="K391" s="13" t="s">
        <v>36</v>
      </c>
      <c r="L391">
        <v>14</v>
      </c>
      <c r="M391">
        <v>2646</v>
      </c>
      <c r="N391" s="15">
        <f>O391/100</f>
        <v>0.87</v>
      </c>
      <c r="O391" s="14">
        <v>87</v>
      </c>
      <c r="P391">
        <v>32.6</v>
      </c>
      <c r="Q391">
        <v>0.13</v>
      </c>
      <c r="R391">
        <v>0.4</v>
      </c>
      <c r="S391">
        <v>0</v>
      </c>
      <c r="T391" s="15">
        <f t="shared" si="19"/>
        <v>0.2</v>
      </c>
      <c r="U391">
        <v>20</v>
      </c>
      <c r="V391">
        <v>35</v>
      </c>
      <c r="W391" s="12">
        <v>2.8</v>
      </c>
      <c r="X391" s="6">
        <v>460</v>
      </c>
      <c r="Y391" s="11">
        <f>VLOOKUP(B391,calculo!$C$5:$D$29,2,FALSE)</f>
        <v>0.18470611748339616</v>
      </c>
      <c r="Z391" s="11">
        <f>VLOOKUP(B391,calculo!$C$5:$E$29,3,FALSE)</f>
        <v>0.20328326597088675</v>
      </c>
      <c r="AA391" s="12">
        <f t="shared" si="20"/>
        <v>345.3125</v>
      </c>
    </row>
    <row r="392" spans="1:27">
      <c r="A392">
        <v>2016</v>
      </c>
      <c r="B392" s="13" t="s">
        <v>66</v>
      </c>
      <c r="C392" s="13" t="s">
        <v>38</v>
      </c>
      <c r="D392" s="12">
        <v>18.32</v>
      </c>
      <c r="E392" s="17">
        <f t="shared" si="18"/>
        <v>18320</v>
      </c>
      <c r="F392" s="12">
        <v>1950.5</v>
      </c>
      <c r="G392" s="7">
        <v>36.799999999999997</v>
      </c>
      <c r="H392" s="7">
        <v>67.5</v>
      </c>
      <c r="I392" s="12">
        <v>75.599999999999994</v>
      </c>
      <c r="J392" s="13" t="s">
        <v>29</v>
      </c>
      <c r="K392" s="13" t="s">
        <v>32</v>
      </c>
      <c r="L392">
        <v>90</v>
      </c>
      <c r="M392">
        <v>15300</v>
      </c>
      <c r="N392" s="15">
        <f>O392/100</f>
        <v>0.91500000000000004</v>
      </c>
      <c r="O392" s="14">
        <v>91.5</v>
      </c>
      <c r="P392">
        <v>82.2</v>
      </c>
      <c r="Q392">
        <v>0.2</v>
      </c>
      <c r="R392">
        <v>0.46</v>
      </c>
      <c r="S392">
        <v>0</v>
      </c>
      <c r="T392" s="15">
        <f t="shared" si="19"/>
        <v>0.16200000000000001</v>
      </c>
      <c r="U392">
        <v>16.2</v>
      </c>
      <c r="V392">
        <v>38</v>
      </c>
      <c r="W392" s="12">
        <v>35.299999999999997</v>
      </c>
      <c r="X392" s="6">
        <v>363</v>
      </c>
      <c r="Y392" s="11">
        <f>VLOOKUP(B392,calculo!$C$5:$D$29,2,FALSE)</f>
        <v>0.18470611748339616</v>
      </c>
      <c r="Z392" s="11">
        <f>VLOOKUP(B392,calculo!$C$5:$E$29,3,FALSE)</f>
        <v>0.20328326597088675</v>
      </c>
      <c r="AA392" s="12">
        <f t="shared" si="20"/>
        <v>497.82608695652181</v>
      </c>
    </row>
    <row r="393" spans="1:27">
      <c r="A393">
        <v>2017</v>
      </c>
      <c r="B393" s="13" t="s">
        <v>66</v>
      </c>
      <c r="C393" s="13" t="s">
        <v>38</v>
      </c>
      <c r="D393" s="12">
        <v>21.71</v>
      </c>
      <c r="E393" s="17">
        <f t="shared" si="18"/>
        <v>21710</v>
      </c>
      <c r="F393" s="12">
        <v>2143.1999999999998</v>
      </c>
      <c r="G393" s="7">
        <v>3.4</v>
      </c>
      <c r="H393" s="7">
        <v>6.9</v>
      </c>
      <c r="I393" s="12">
        <v>78.900000000000006</v>
      </c>
      <c r="J393" s="13" t="s">
        <v>33</v>
      </c>
      <c r="K393" s="13" t="s">
        <v>36</v>
      </c>
      <c r="L393">
        <v>15</v>
      </c>
      <c r="M393">
        <v>2595</v>
      </c>
      <c r="N393" s="15">
        <f>O393/100</f>
        <v>0.86199999999999999</v>
      </c>
      <c r="O393" s="14">
        <v>86.2</v>
      </c>
      <c r="P393">
        <v>38.9</v>
      </c>
      <c r="Q393">
        <v>0.23</v>
      </c>
      <c r="R393">
        <v>0.52</v>
      </c>
      <c r="S393">
        <v>0</v>
      </c>
      <c r="T393" s="15">
        <f t="shared" si="19"/>
        <v>0.19600000000000001</v>
      </c>
      <c r="U393">
        <v>19.600000000000001</v>
      </c>
      <c r="V393">
        <v>41</v>
      </c>
      <c r="W393" s="12">
        <v>4.2</v>
      </c>
      <c r="X393" s="6">
        <v>486</v>
      </c>
      <c r="Y393" s="11">
        <f>VLOOKUP(B393,calculo!$C$5:$D$29,2,FALSE)</f>
        <v>0.18470611748339616</v>
      </c>
      <c r="Z393" s="11">
        <f>VLOOKUP(B393,calculo!$C$5:$E$29,3,FALSE)</f>
        <v>0.20328326597088675</v>
      </c>
      <c r="AA393" s="12">
        <f t="shared" si="20"/>
        <v>6385.2941176470586</v>
      </c>
    </row>
    <row r="394" spans="1:27">
      <c r="A394">
        <v>2018</v>
      </c>
      <c r="B394" s="13" t="s">
        <v>66</v>
      </c>
      <c r="C394" s="13" t="s">
        <v>38</v>
      </c>
      <c r="D394" s="12">
        <v>25.72</v>
      </c>
      <c r="E394" s="17">
        <f t="shared" si="18"/>
        <v>25720</v>
      </c>
      <c r="F394" s="12">
        <v>3487.8</v>
      </c>
      <c r="G394" s="7">
        <v>45.5</v>
      </c>
      <c r="H394" s="7">
        <v>141.5</v>
      </c>
      <c r="I394" s="12">
        <v>46.4</v>
      </c>
      <c r="J394" s="13" t="s">
        <v>35</v>
      </c>
      <c r="K394" s="13" t="s">
        <v>36</v>
      </c>
      <c r="L394">
        <v>98</v>
      </c>
      <c r="M394">
        <v>21168</v>
      </c>
      <c r="N394" s="15">
        <f>O394/100</f>
        <v>0.82599999999999996</v>
      </c>
      <c r="O394" s="14">
        <v>82.6</v>
      </c>
      <c r="P394">
        <v>87.7</v>
      </c>
      <c r="Q394">
        <v>0.35</v>
      </c>
      <c r="R394">
        <v>0.57999999999999996</v>
      </c>
      <c r="S394">
        <v>0</v>
      </c>
      <c r="T394" s="15">
        <f t="shared" si="19"/>
        <v>0.185</v>
      </c>
      <c r="U394">
        <v>18.5</v>
      </c>
      <c r="V394">
        <v>44</v>
      </c>
      <c r="W394" s="12">
        <v>36.6</v>
      </c>
      <c r="X394" s="6">
        <v>198</v>
      </c>
      <c r="Y394" s="11">
        <f>VLOOKUP(B394,calculo!$C$5:$D$29,2,FALSE)</f>
        <v>0.18470611748339616</v>
      </c>
      <c r="Z394" s="11">
        <f>VLOOKUP(B394,calculo!$C$5:$E$29,3,FALSE)</f>
        <v>0.20328326597088675</v>
      </c>
      <c r="AA394" s="12">
        <f t="shared" si="20"/>
        <v>565.27472527472526</v>
      </c>
    </row>
    <row r="395" spans="1:27">
      <c r="A395">
        <v>2019</v>
      </c>
      <c r="B395" s="13" t="s">
        <v>66</v>
      </c>
      <c r="C395" s="13" t="s">
        <v>38</v>
      </c>
      <c r="D395" s="12">
        <v>30.47</v>
      </c>
      <c r="E395" s="17">
        <f t="shared" si="18"/>
        <v>30470</v>
      </c>
      <c r="F395" s="12">
        <v>4328.8</v>
      </c>
      <c r="G395" s="7">
        <v>2.7</v>
      </c>
      <c r="H395" s="7">
        <v>7</v>
      </c>
      <c r="I395" s="12">
        <v>118.9</v>
      </c>
      <c r="J395" s="13" t="s">
        <v>29</v>
      </c>
      <c r="K395" s="13" t="s">
        <v>30</v>
      </c>
      <c r="L395">
        <v>28</v>
      </c>
      <c r="M395">
        <v>2800</v>
      </c>
      <c r="N395" s="15">
        <f>O395/100</f>
        <v>0.77599999999999991</v>
      </c>
      <c r="O395" s="14">
        <v>77.599999999999994</v>
      </c>
      <c r="P395">
        <v>42.7</v>
      </c>
      <c r="Q395">
        <v>0.32</v>
      </c>
      <c r="R395">
        <v>0.64</v>
      </c>
      <c r="S395">
        <v>0</v>
      </c>
      <c r="T395" s="15">
        <f t="shared" si="19"/>
        <v>0.24399999999999999</v>
      </c>
      <c r="U395">
        <v>24.4</v>
      </c>
      <c r="V395">
        <v>47</v>
      </c>
      <c r="W395" s="12">
        <v>4.8</v>
      </c>
      <c r="X395" s="6">
        <v>481</v>
      </c>
      <c r="Y395" s="11">
        <f>VLOOKUP(B395,calculo!$C$5:$D$29,2,FALSE)</f>
        <v>0.18470611748339616</v>
      </c>
      <c r="Z395" s="11">
        <f>VLOOKUP(B395,calculo!$C$5:$E$29,3,FALSE)</f>
        <v>0.20328326597088675</v>
      </c>
      <c r="AA395" s="12">
        <f t="shared" si="20"/>
        <v>11285.185185185184</v>
      </c>
    </row>
    <row r="396" spans="1:27">
      <c r="A396">
        <v>2020</v>
      </c>
      <c r="B396" s="13" t="s">
        <v>66</v>
      </c>
      <c r="C396" s="13" t="s">
        <v>38</v>
      </c>
      <c r="D396" s="12">
        <v>36.1</v>
      </c>
      <c r="E396" s="17">
        <f t="shared" si="18"/>
        <v>36100</v>
      </c>
      <c r="F396" s="12">
        <v>3454.4</v>
      </c>
      <c r="G396" s="7">
        <v>51</v>
      </c>
      <c r="H396" s="7">
        <v>88.2</v>
      </c>
      <c r="I396" s="12">
        <v>60.6</v>
      </c>
      <c r="J396" s="13" t="s">
        <v>33</v>
      </c>
      <c r="K396" s="13" t="s">
        <v>36</v>
      </c>
      <c r="L396">
        <v>56</v>
      </c>
      <c r="M396">
        <v>12264</v>
      </c>
      <c r="N396" s="15">
        <f>O396/100</f>
        <v>0.55399999999999994</v>
      </c>
      <c r="O396" s="14">
        <v>55.4</v>
      </c>
      <c r="P396">
        <v>27.7</v>
      </c>
      <c r="Q396">
        <v>0.54</v>
      </c>
      <c r="R396">
        <v>1.0900000000000001</v>
      </c>
      <c r="S396">
        <v>0.39</v>
      </c>
      <c r="T396" s="15">
        <f t="shared" si="19"/>
        <v>0.28300000000000003</v>
      </c>
      <c r="U396">
        <v>28.3</v>
      </c>
      <c r="V396">
        <v>50</v>
      </c>
      <c r="W396" s="12">
        <v>9.3000000000000007</v>
      </c>
      <c r="X396" s="6">
        <v>189</v>
      </c>
      <c r="Y396" s="11">
        <f>VLOOKUP(B396,calculo!$C$5:$D$29,2,FALSE)</f>
        <v>0.18470611748339616</v>
      </c>
      <c r="Z396" s="11">
        <f>VLOOKUP(B396,calculo!$C$5:$E$29,3,FALSE)</f>
        <v>0.20328326597088675</v>
      </c>
      <c r="AA396" s="12">
        <f t="shared" si="20"/>
        <v>707.84313725490199</v>
      </c>
    </row>
    <row r="397" spans="1:27">
      <c r="A397">
        <v>2021</v>
      </c>
      <c r="B397" s="13" t="s">
        <v>66</v>
      </c>
      <c r="C397" s="13" t="s">
        <v>38</v>
      </c>
      <c r="D397" s="12">
        <v>42.77</v>
      </c>
      <c r="E397" s="17">
        <f t="shared" si="18"/>
        <v>42770</v>
      </c>
      <c r="F397" s="12">
        <v>4480.5</v>
      </c>
      <c r="G397" s="7">
        <v>56.7</v>
      </c>
      <c r="H397" s="7">
        <v>113.6</v>
      </c>
      <c r="I397" s="12">
        <v>42.1</v>
      </c>
      <c r="J397" s="13" t="s">
        <v>34</v>
      </c>
      <c r="K397" s="13" t="s">
        <v>30</v>
      </c>
      <c r="L397">
        <v>105</v>
      </c>
      <c r="M397">
        <v>28875</v>
      </c>
      <c r="N397" s="15">
        <f>O397/100</f>
        <v>0.65599999999999992</v>
      </c>
      <c r="O397" s="14">
        <v>65.599999999999994</v>
      </c>
      <c r="P397">
        <v>74</v>
      </c>
      <c r="Q397">
        <v>0.65</v>
      </c>
      <c r="R397">
        <v>1.1299999999999999</v>
      </c>
      <c r="S397">
        <v>0.37</v>
      </c>
      <c r="T397" s="15">
        <f t="shared" si="19"/>
        <v>0.26800000000000002</v>
      </c>
      <c r="U397">
        <v>26.8</v>
      </c>
      <c r="V397">
        <v>53</v>
      </c>
      <c r="W397" s="12">
        <v>31.9</v>
      </c>
      <c r="X397" s="6">
        <v>263</v>
      </c>
      <c r="Y397" s="11">
        <f>VLOOKUP(B397,calculo!$C$5:$D$29,2,FALSE)</f>
        <v>0.18470611748339616</v>
      </c>
      <c r="Z397" s="11">
        <f>VLOOKUP(B397,calculo!$C$5:$E$29,3,FALSE)</f>
        <v>0.20328326597088675</v>
      </c>
      <c r="AA397" s="12">
        <f t="shared" si="20"/>
        <v>754.3209876543209</v>
      </c>
    </row>
    <row r="398" spans="1:27">
      <c r="A398">
        <v>2022</v>
      </c>
      <c r="B398" s="13" t="s">
        <v>66</v>
      </c>
      <c r="C398" s="13" t="s">
        <v>38</v>
      </c>
      <c r="D398" s="12">
        <v>50.68</v>
      </c>
      <c r="E398" s="17">
        <f t="shared" si="18"/>
        <v>50680</v>
      </c>
      <c r="F398" s="12">
        <v>4392.5</v>
      </c>
      <c r="G398" s="7">
        <v>7.8</v>
      </c>
      <c r="H398" s="7">
        <v>23.6</v>
      </c>
      <c r="I398" s="12">
        <v>146</v>
      </c>
      <c r="J398" s="13" t="s">
        <v>29</v>
      </c>
      <c r="K398" s="13" t="s">
        <v>36</v>
      </c>
      <c r="L398">
        <v>62</v>
      </c>
      <c r="M398">
        <v>16554</v>
      </c>
      <c r="N398" s="15">
        <f>O398/100</f>
        <v>0.628</v>
      </c>
      <c r="O398" s="14">
        <v>62.8</v>
      </c>
      <c r="P398">
        <v>72.3</v>
      </c>
      <c r="Q398">
        <v>0.63</v>
      </c>
      <c r="R398">
        <v>0.82</v>
      </c>
      <c r="S398">
        <v>0</v>
      </c>
      <c r="T398" s="15">
        <f t="shared" si="19"/>
        <v>0.29399999999999998</v>
      </c>
      <c r="U398">
        <v>29.4</v>
      </c>
      <c r="V398">
        <v>56</v>
      </c>
      <c r="W398" s="12">
        <v>22.7</v>
      </c>
      <c r="X398" s="6">
        <v>238</v>
      </c>
      <c r="Y398" s="11">
        <f>VLOOKUP(B398,calculo!$C$5:$D$29,2,FALSE)</f>
        <v>0.18470611748339616</v>
      </c>
      <c r="Z398" s="11">
        <f>VLOOKUP(B398,calculo!$C$5:$E$29,3,FALSE)</f>
        <v>0.20328326597088675</v>
      </c>
      <c r="AA398" s="12">
        <f t="shared" si="20"/>
        <v>6497.4358974358975</v>
      </c>
    </row>
    <row r="399" spans="1:27">
      <c r="A399">
        <v>2023</v>
      </c>
      <c r="B399" s="13" t="s">
        <v>66</v>
      </c>
      <c r="C399" s="13" t="s">
        <v>38</v>
      </c>
      <c r="D399" s="12">
        <v>60.04</v>
      </c>
      <c r="E399" s="17">
        <f t="shared" si="18"/>
        <v>60040</v>
      </c>
      <c r="F399" s="12">
        <v>4594.1000000000004</v>
      </c>
      <c r="G399" s="7">
        <v>11.8</v>
      </c>
      <c r="H399" s="7">
        <v>20</v>
      </c>
      <c r="I399" s="12">
        <v>80.3</v>
      </c>
      <c r="J399" s="13" t="s">
        <v>29</v>
      </c>
      <c r="K399" s="13" t="s">
        <v>30</v>
      </c>
      <c r="L399">
        <v>12</v>
      </c>
      <c r="M399">
        <v>804</v>
      </c>
      <c r="N399" s="15">
        <f>O399/100</f>
        <v>0.746</v>
      </c>
      <c r="O399" s="14">
        <v>74.599999999999994</v>
      </c>
      <c r="P399">
        <v>43.7</v>
      </c>
      <c r="Q399">
        <v>0.69</v>
      </c>
      <c r="R399">
        <v>0.88</v>
      </c>
      <c r="S399">
        <v>0</v>
      </c>
      <c r="T399" s="15">
        <f t="shared" si="19"/>
        <v>0.30399999999999999</v>
      </c>
      <c r="U399">
        <v>30.4</v>
      </c>
      <c r="V399">
        <v>59</v>
      </c>
      <c r="W399" s="12">
        <v>4.5</v>
      </c>
      <c r="X399" s="6">
        <v>294</v>
      </c>
      <c r="Y399" s="11">
        <f>VLOOKUP(B399,calculo!$C$5:$D$29,2,FALSE)</f>
        <v>0.18470611748339616</v>
      </c>
      <c r="Z399" s="11">
        <f>VLOOKUP(B399,calculo!$C$5:$E$29,3,FALSE)</f>
        <v>0.20328326597088675</v>
      </c>
      <c r="AA399" s="12">
        <f t="shared" si="20"/>
        <v>5088.1355932203387</v>
      </c>
    </row>
    <row r="400" spans="1:27">
      <c r="A400">
        <v>2024</v>
      </c>
      <c r="B400" s="13" t="s">
        <v>66</v>
      </c>
      <c r="C400" s="13" t="s">
        <v>38</v>
      </c>
      <c r="D400" s="12">
        <v>71.13</v>
      </c>
      <c r="E400" s="17">
        <f t="shared" si="18"/>
        <v>71130</v>
      </c>
      <c r="F400" s="12">
        <v>4284.6000000000004</v>
      </c>
      <c r="G400" s="7">
        <v>45.6</v>
      </c>
      <c r="H400" s="7">
        <v>151.1</v>
      </c>
      <c r="I400" s="12">
        <v>119.2</v>
      </c>
      <c r="J400" s="13" t="s">
        <v>31</v>
      </c>
      <c r="K400" s="13" t="s">
        <v>30</v>
      </c>
      <c r="L400">
        <v>86</v>
      </c>
      <c r="M400">
        <v>10836</v>
      </c>
      <c r="N400" s="15">
        <f>O400/100</f>
        <v>0.505</v>
      </c>
      <c r="O400" s="14">
        <v>50.5</v>
      </c>
      <c r="P400">
        <v>54.6</v>
      </c>
      <c r="Q400">
        <v>0.82</v>
      </c>
      <c r="R400">
        <v>0.94</v>
      </c>
      <c r="S400">
        <v>0</v>
      </c>
      <c r="T400" s="15">
        <f t="shared" si="19"/>
        <v>0.30299999999999999</v>
      </c>
      <c r="U400">
        <v>30.3</v>
      </c>
      <c r="V400">
        <v>62</v>
      </c>
      <c r="W400" s="12">
        <v>31.4</v>
      </c>
      <c r="X400" s="6">
        <v>483</v>
      </c>
      <c r="Y400" s="11">
        <f>VLOOKUP(B400,calculo!$C$5:$D$29,2,FALSE)</f>
        <v>0.18470611748339616</v>
      </c>
      <c r="Z400" s="11">
        <f>VLOOKUP(B400,calculo!$C$5:$E$29,3,FALSE)</f>
        <v>0.20328326597088675</v>
      </c>
      <c r="AA400" s="12">
        <f t="shared" si="20"/>
        <v>1559.8684210526314</v>
      </c>
    </row>
    <row r="401" spans="1:27">
      <c r="A401">
        <v>2025</v>
      </c>
      <c r="B401" s="13" t="s">
        <v>66</v>
      </c>
      <c r="C401" s="13" t="s">
        <v>38</v>
      </c>
      <c r="D401" s="12">
        <v>84.27</v>
      </c>
      <c r="E401" s="17">
        <f t="shared" si="18"/>
        <v>84270</v>
      </c>
      <c r="F401" s="12">
        <v>9115.7000000000007</v>
      </c>
      <c r="G401" s="7">
        <v>46.4</v>
      </c>
      <c r="H401" s="7">
        <v>107.4</v>
      </c>
      <c r="I401" s="12">
        <v>135.6</v>
      </c>
      <c r="J401" s="13" t="s">
        <v>29</v>
      </c>
      <c r="K401" s="13" t="s">
        <v>36</v>
      </c>
      <c r="L401">
        <v>9</v>
      </c>
      <c r="M401">
        <v>2268</v>
      </c>
      <c r="N401" s="15">
        <f>O401/100</f>
        <v>0.55899999999999994</v>
      </c>
      <c r="O401" s="14">
        <v>55.9</v>
      </c>
      <c r="P401">
        <v>48.2</v>
      </c>
      <c r="Q401">
        <v>0.85</v>
      </c>
      <c r="R401">
        <v>1</v>
      </c>
      <c r="S401">
        <v>0</v>
      </c>
      <c r="T401" s="15">
        <f t="shared" si="19"/>
        <v>0.35399999999999998</v>
      </c>
      <c r="U401">
        <v>35.4</v>
      </c>
      <c r="V401">
        <v>65</v>
      </c>
      <c r="W401" s="12">
        <v>3.4</v>
      </c>
      <c r="X401" s="6">
        <v>371</v>
      </c>
      <c r="Y401" s="11">
        <f>VLOOKUP(B401,calculo!$C$5:$D$29,2,FALSE)</f>
        <v>0.18470611748339616</v>
      </c>
      <c r="Z401" s="11">
        <f>VLOOKUP(B401,calculo!$C$5:$E$29,3,FALSE)</f>
        <v>0.20328326597088675</v>
      </c>
      <c r="AA401" s="12">
        <f t="shared" si="20"/>
        <v>1816.1637931034484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3AAD-7DFF-4AFE-BF6F-2643E8D59EF5}">
  <dimension ref="B2:L124"/>
  <sheetViews>
    <sheetView showGridLines="0" workbookViewId="0">
      <selection activeCell="E87" sqref="E87"/>
    </sheetView>
  </sheetViews>
  <sheetFormatPr defaultRowHeight="15"/>
  <cols>
    <col min="2" max="2" width="35.85546875" bestFit="1" customWidth="1"/>
    <col min="3" max="3" width="12.7109375" customWidth="1"/>
    <col min="4" max="5" width="14.42578125" bestFit="1" customWidth="1"/>
    <col min="6" max="6" width="12.7109375" bestFit="1" customWidth="1"/>
    <col min="7" max="7" width="14.42578125" bestFit="1" customWidth="1"/>
    <col min="8" max="8" width="12.7109375" bestFit="1" customWidth="1"/>
    <col min="9" max="9" width="14.42578125" bestFit="1" customWidth="1"/>
    <col min="10" max="10" width="15.42578125" bestFit="1" customWidth="1"/>
    <col min="11" max="12" width="12.7109375" bestFit="1" customWidth="1"/>
    <col min="13" max="13" width="10.5703125" bestFit="1" customWidth="1"/>
    <col min="14" max="14" width="11.5703125" bestFit="1" customWidth="1"/>
    <col min="15" max="15" width="8.85546875" bestFit="1" customWidth="1"/>
    <col min="16" max="16" width="11.85546875" bestFit="1" customWidth="1"/>
    <col min="17" max="18" width="10.5703125" bestFit="1" customWidth="1"/>
    <col min="19" max="19" width="12.140625" bestFit="1" customWidth="1"/>
    <col min="20" max="20" width="11.5703125" bestFit="1" customWidth="1"/>
    <col min="21" max="22" width="11.7109375" bestFit="1" customWidth="1"/>
    <col min="23" max="23" width="10.5703125" bestFit="1" customWidth="1"/>
    <col min="24" max="24" width="11.5703125" bestFit="1" customWidth="1"/>
    <col min="25" max="26" width="10.5703125" bestFit="1" customWidth="1"/>
    <col min="27" max="27" width="11.5703125" bestFit="1" customWidth="1"/>
    <col min="28" max="28" width="12.85546875" bestFit="1" customWidth="1"/>
    <col min="29" max="29" width="10.7109375" bestFit="1" customWidth="1"/>
    <col min="30" max="30" width="6.5703125" bestFit="1" customWidth="1"/>
    <col min="31" max="31" width="6.28515625" bestFit="1" customWidth="1"/>
    <col min="32" max="32" width="9.85546875" bestFit="1" customWidth="1"/>
    <col min="33" max="33" width="7.85546875" bestFit="1" customWidth="1"/>
    <col min="34" max="34" width="7.42578125" bestFit="1" customWidth="1"/>
    <col min="35" max="35" width="11" bestFit="1" customWidth="1"/>
    <col min="36" max="36" width="9.28515625" bestFit="1" customWidth="1"/>
    <col min="37" max="37" width="5.140625" bestFit="1" customWidth="1"/>
    <col min="38" max="38" width="12.42578125" bestFit="1" customWidth="1"/>
    <col min="39" max="39" width="13.7109375" bestFit="1" customWidth="1"/>
    <col min="40" max="40" width="6.28515625" bestFit="1" customWidth="1"/>
    <col min="41" max="41" width="16.85546875" bestFit="1" customWidth="1"/>
    <col min="42" max="42" width="8.85546875" bestFit="1" customWidth="1"/>
    <col min="43" max="43" width="5.140625" bestFit="1" customWidth="1"/>
    <col min="44" max="44" width="12" bestFit="1" customWidth="1"/>
    <col min="45" max="45" width="8.42578125" bestFit="1" customWidth="1"/>
    <col min="46" max="46" width="7.42578125" bestFit="1" customWidth="1"/>
    <col min="47" max="47" width="11.5703125" bestFit="1" customWidth="1"/>
    <col min="48" max="48" width="14" bestFit="1" customWidth="1"/>
    <col min="49" max="49" width="6.28515625" bestFit="1" customWidth="1"/>
    <col min="50" max="50" width="17.140625" bestFit="1" customWidth="1"/>
    <col min="51" max="51" width="11.5703125" bestFit="1" customWidth="1"/>
    <col min="52" max="52" width="6.28515625" bestFit="1" customWidth="1"/>
    <col min="53" max="53" width="14.85546875" bestFit="1" customWidth="1"/>
    <col min="54" max="54" width="13.5703125" bestFit="1" customWidth="1"/>
    <col min="55" max="55" width="6.28515625" bestFit="1" customWidth="1"/>
    <col min="56" max="56" width="16.85546875" bestFit="1" customWidth="1"/>
    <col min="57" max="57" width="13.5703125" bestFit="1" customWidth="1"/>
    <col min="58" max="58" width="7.42578125" bestFit="1" customWidth="1"/>
    <col min="59" max="59" width="16.85546875" bestFit="1" customWidth="1"/>
    <col min="60" max="60" width="7.5703125" bestFit="1" customWidth="1"/>
    <col min="61" max="61" width="7.42578125" bestFit="1" customWidth="1"/>
    <col min="62" max="62" width="10.7109375" bestFit="1" customWidth="1"/>
    <col min="63" max="63" width="9.7109375" bestFit="1" customWidth="1"/>
    <col min="64" max="64" width="7.42578125" bestFit="1" customWidth="1"/>
    <col min="65" max="65" width="13" bestFit="1" customWidth="1"/>
    <col min="66" max="66" width="10.42578125" bestFit="1" customWidth="1"/>
    <col min="67" max="67" width="6.28515625" bestFit="1" customWidth="1"/>
    <col min="68" max="68" width="13.5703125" bestFit="1" customWidth="1"/>
    <col min="69" max="69" width="8.85546875" bestFit="1" customWidth="1"/>
    <col min="70" max="70" width="6.28515625" bestFit="1" customWidth="1"/>
    <col min="71" max="71" width="12" bestFit="1" customWidth="1"/>
    <col min="72" max="72" width="6.28515625" bestFit="1" customWidth="1"/>
    <col min="73" max="73" width="7.42578125" bestFit="1" customWidth="1"/>
    <col min="74" max="74" width="8.42578125" bestFit="1" customWidth="1"/>
    <col min="75" max="75" width="14.7109375" bestFit="1" customWidth="1"/>
    <col min="76" max="76" width="7.42578125" bestFit="1" customWidth="1"/>
    <col min="77" max="77" width="17.85546875" bestFit="1" customWidth="1"/>
    <col min="78" max="78" width="10.7109375" bestFit="1" customWidth="1"/>
  </cols>
  <sheetData>
    <row r="2" spans="2:10">
      <c r="B2" s="4" t="s">
        <v>67</v>
      </c>
    </row>
    <row r="3" spans="2:10">
      <c r="B3" s="20" t="s">
        <v>68</v>
      </c>
      <c r="H3" s="1" t="s">
        <v>2</v>
      </c>
      <c r="I3" t="s">
        <v>69</v>
      </c>
      <c r="J3" t="s">
        <v>70</v>
      </c>
    </row>
    <row r="4" spans="2:10">
      <c r="B4" t="s">
        <v>71</v>
      </c>
      <c r="C4" t="s">
        <v>72</v>
      </c>
      <c r="D4" t="s">
        <v>73</v>
      </c>
      <c r="E4" t="s">
        <v>74</v>
      </c>
      <c r="G4" s="7"/>
      <c r="H4" t="s">
        <v>61</v>
      </c>
      <c r="I4" s="11">
        <v>0.13809141282795068</v>
      </c>
      <c r="J4" s="11">
        <v>0.12223248137611864</v>
      </c>
    </row>
    <row r="5" spans="2:10">
      <c r="B5" s="21" t="s">
        <v>61</v>
      </c>
      <c r="C5" t="s">
        <v>60</v>
      </c>
      <c r="D5" s="7">
        <f>((E33/D33)^(1/15)-1)</f>
        <v>0.13809141282795068</v>
      </c>
      <c r="E5" s="7">
        <f>((K33/J33)^(1/15)-1)</f>
        <v>0.12223248137611864</v>
      </c>
      <c r="G5" s="7"/>
      <c r="H5" t="s">
        <v>38</v>
      </c>
      <c r="I5" s="11">
        <v>0.15930749997946866</v>
      </c>
      <c r="J5" s="11">
        <v>0.18245842844368668</v>
      </c>
    </row>
    <row r="6" spans="2:10">
      <c r="B6" s="22" t="s">
        <v>38</v>
      </c>
      <c r="C6" t="s">
        <v>37</v>
      </c>
      <c r="D6" s="7">
        <f>((E35/D35)^(1/15)-1)</f>
        <v>0.10678689064536639</v>
      </c>
      <c r="E6" s="7">
        <f>((K35/J35)^(1/15)-1)</f>
        <v>0.10206917065973053</v>
      </c>
      <c r="G6" s="7"/>
      <c r="H6" t="s">
        <v>42</v>
      </c>
      <c r="I6" s="11">
        <v>0.1698741826623896</v>
      </c>
      <c r="J6" s="11">
        <v>0.16670370207392229</v>
      </c>
    </row>
    <row r="7" spans="2:10">
      <c r="B7" s="22" t="s">
        <v>38</v>
      </c>
      <c r="C7" t="s">
        <v>50</v>
      </c>
      <c r="D7" s="7">
        <f t="shared" ref="D7:D13" si="0">((E36/D36)^(1/15)-1)</f>
        <v>0.11797009325813268</v>
      </c>
      <c r="E7" s="7">
        <f t="shared" ref="E7:E12" si="1">((K36/J36)^(1/15)-1)</f>
        <v>0.12846891294234219</v>
      </c>
      <c r="G7" s="7"/>
      <c r="H7" t="s">
        <v>48</v>
      </c>
      <c r="I7" s="11">
        <v>0.10592514350296409</v>
      </c>
      <c r="J7" s="11">
        <v>9.7947829182252477E-2</v>
      </c>
    </row>
    <row r="8" spans="2:10">
      <c r="B8" s="22" t="s">
        <v>38</v>
      </c>
      <c r="C8" t="s">
        <v>51</v>
      </c>
      <c r="D8" s="7">
        <f t="shared" si="0"/>
        <v>0.14460949196571371</v>
      </c>
      <c r="E8" s="7">
        <f t="shared" si="1"/>
        <v>0.20582061417956043</v>
      </c>
      <c r="G8" s="7"/>
      <c r="H8" t="s">
        <v>28</v>
      </c>
      <c r="I8" s="11">
        <v>0.18193960945126117</v>
      </c>
      <c r="J8" s="11">
        <v>0.21729725092125754</v>
      </c>
    </row>
    <row r="9" spans="2:10">
      <c r="B9" s="22" t="s">
        <v>38</v>
      </c>
      <c r="C9" t="s">
        <v>39</v>
      </c>
      <c r="D9" s="7">
        <f t="shared" si="0"/>
        <v>0.17634741332561998</v>
      </c>
      <c r="E9" s="7">
        <f t="shared" si="1"/>
        <v>0.21788854984795458</v>
      </c>
      <c r="G9" s="7"/>
      <c r="H9" t="s">
        <v>56</v>
      </c>
      <c r="I9" s="11">
        <v>6.009196571513753E-2</v>
      </c>
      <c r="J9" s="11">
        <v>2.2334714455911175E-2</v>
      </c>
    </row>
    <row r="10" spans="2:10">
      <c r="B10" s="22" t="s">
        <v>38</v>
      </c>
      <c r="C10" t="s">
        <v>66</v>
      </c>
      <c r="D10" s="7">
        <f t="shared" si="0"/>
        <v>0.18470611748339616</v>
      </c>
      <c r="E10" s="7">
        <f t="shared" si="1"/>
        <v>0.20328326597088675</v>
      </c>
      <c r="G10" s="7"/>
      <c r="H10" t="s">
        <v>46</v>
      </c>
      <c r="I10" s="11">
        <v>0.15941454484937406</v>
      </c>
      <c r="J10" s="11">
        <v>0.17776702441185982</v>
      </c>
    </row>
    <row r="11" spans="2:10">
      <c r="B11" s="22" t="s">
        <v>38</v>
      </c>
      <c r="C11" t="s">
        <v>40</v>
      </c>
      <c r="D11" s="7">
        <f t="shared" si="0"/>
        <v>0.19963066684598241</v>
      </c>
      <c r="E11" s="7">
        <f t="shared" si="1"/>
        <v>0.24313373854624309</v>
      </c>
      <c r="G11" s="7"/>
      <c r="H11" t="s">
        <v>75</v>
      </c>
      <c r="I11" s="11">
        <v>0.1567480690967738</v>
      </c>
      <c r="J11" s="11">
        <v>0.16501723894220471</v>
      </c>
    </row>
    <row r="12" spans="2:10">
      <c r="B12" s="22" t="s">
        <v>38</v>
      </c>
      <c r="C12" t="s">
        <v>65</v>
      </c>
      <c r="D12" s="7">
        <f t="shared" si="0"/>
        <v>0.18510182633206851</v>
      </c>
      <c r="E12" s="7">
        <f t="shared" si="1"/>
        <v>0.17654474695909106</v>
      </c>
      <c r="G12" s="7"/>
    </row>
    <row r="13" spans="2:10">
      <c r="B13" s="22" t="s">
        <v>42</v>
      </c>
      <c r="C13" t="s">
        <v>44</v>
      </c>
      <c r="D13" s="7">
        <f>((E43/D43)^(1/15)-1)</f>
        <v>9.0705729637499788E-2</v>
      </c>
      <c r="E13" s="7">
        <f>((K43/J43)^(1/15)-1)</f>
        <v>0.104604667160068</v>
      </c>
      <c r="G13" s="9"/>
    </row>
    <row r="14" spans="2:10">
      <c r="B14" s="22" t="s">
        <v>42</v>
      </c>
      <c r="C14" t="s">
        <v>41</v>
      </c>
      <c r="D14" s="7">
        <f t="shared" ref="D14:D23" si="2">((E44/D44)^(1/15)-1)</f>
        <v>0.17074063947425855</v>
      </c>
      <c r="E14" s="7">
        <f t="shared" ref="E14:E21" si="3">((K44/J44)^(1/15)-1)</f>
        <v>0.10120107004834433</v>
      </c>
      <c r="G14" s="9"/>
    </row>
    <row r="15" spans="2:10">
      <c r="B15" s="22" t="s">
        <v>42</v>
      </c>
      <c r="C15" t="s">
        <v>54</v>
      </c>
      <c r="D15" s="7">
        <f t="shared" si="2"/>
        <v>0.23798636243209326</v>
      </c>
      <c r="E15" s="7">
        <f t="shared" si="3"/>
        <v>0.22360173226397251</v>
      </c>
      <c r="G15" s="9"/>
    </row>
    <row r="16" spans="2:10">
      <c r="B16" s="22" t="s">
        <v>42</v>
      </c>
      <c r="C16" t="s">
        <v>59</v>
      </c>
      <c r="D16" s="7">
        <f t="shared" si="2"/>
        <v>0.15863193240980733</v>
      </c>
      <c r="E16" s="7">
        <f t="shared" si="3"/>
        <v>0.12434390024925701</v>
      </c>
      <c r="G16" s="9"/>
    </row>
    <row r="17" spans="2:12">
      <c r="B17" s="22" t="s">
        <v>42</v>
      </c>
      <c r="C17" t="s">
        <v>64</v>
      </c>
      <c r="D17" s="7">
        <f t="shared" si="2"/>
        <v>0.12237132664292405</v>
      </c>
      <c r="E17" s="7">
        <f t="shared" si="3"/>
        <v>0.11557112681169279</v>
      </c>
      <c r="G17" s="9"/>
    </row>
    <row r="18" spans="2:12">
      <c r="B18" s="22" t="s">
        <v>42</v>
      </c>
      <c r="C18" t="s">
        <v>52</v>
      </c>
      <c r="D18" s="7">
        <f t="shared" si="2"/>
        <v>0.15256486027730398</v>
      </c>
      <c r="E18" s="7">
        <f t="shared" si="3"/>
        <v>0.16977368615490174</v>
      </c>
      <c r="G18" s="9"/>
    </row>
    <row r="19" spans="2:12">
      <c r="B19" s="22" t="s">
        <v>42</v>
      </c>
      <c r="C19" t="s">
        <v>53</v>
      </c>
      <c r="D19" s="7">
        <f t="shared" si="2"/>
        <v>0.2063791889231521</v>
      </c>
      <c r="E19" s="7">
        <f t="shared" si="3"/>
        <v>0.21133989853836255</v>
      </c>
      <c r="G19" s="9"/>
    </row>
    <row r="20" spans="2:12">
      <c r="B20" s="22" t="s">
        <v>42</v>
      </c>
      <c r="C20" t="s">
        <v>58</v>
      </c>
      <c r="D20" s="7">
        <f t="shared" si="2"/>
        <v>0.24464845522603795</v>
      </c>
      <c r="E20" s="7">
        <f>((K50/J50)^(1/15)-1)</f>
        <v>0.30572094147558548</v>
      </c>
      <c r="G20" s="9"/>
    </row>
    <row r="21" spans="2:12">
      <c r="B21" s="22" t="s">
        <v>42</v>
      </c>
      <c r="C21" t="s">
        <v>43</v>
      </c>
      <c r="D21" s="7">
        <f t="shared" si="2"/>
        <v>0.14483914893842997</v>
      </c>
      <c r="E21" s="7">
        <f t="shared" si="3"/>
        <v>0.14417629596311476</v>
      </c>
      <c r="H21" s="7"/>
      <c r="I21" s="7"/>
    </row>
    <row r="22" spans="2:12">
      <c r="B22" s="22" t="s">
        <v>48</v>
      </c>
      <c r="C22" t="s">
        <v>62</v>
      </c>
      <c r="D22" s="7">
        <f>((E53/D53)^(1/15)-1)</f>
        <v>0.10917839377844163</v>
      </c>
      <c r="E22" s="7">
        <f>((K53/J53)^(1/15)-1)</f>
        <v>0.11988699614535592</v>
      </c>
      <c r="H22" s="7"/>
      <c r="I22" s="7"/>
    </row>
    <row r="23" spans="2:12">
      <c r="B23" s="22" t="s">
        <v>48</v>
      </c>
      <c r="C23" t="s">
        <v>47</v>
      </c>
      <c r="D23" s="7">
        <f>((E54/D54)^(1/15)-1)</f>
        <v>0.10267189322748638</v>
      </c>
      <c r="E23" s="7">
        <f>((K54/J54)^(1/15)-1)</f>
        <v>7.6008662219149148E-2</v>
      </c>
      <c r="G23" s="9"/>
      <c r="H23" s="7"/>
      <c r="I23" s="7"/>
    </row>
    <row r="24" spans="2:12">
      <c r="B24" s="22" t="s">
        <v>28</v>
      </c>
      <c r="C24" t="s">
        <v>49</v>
      </c>
      <c r="D24" s="7">
        <f>((E56/D56)^(1/15)-1)</f>
        <v>0.19962361768845782</v>
      </c>
      <c r="E24" s="7">
        <f>((K56/J56)^(1/15)-1)</f>
        <v>0.24464551953594671</v>
      </c>
      <c r="H24" s="7"/>
      <c r="I24" s="7"/>
    </row>
    <row r="25" spans="2:12">
      <c r="B25" s="22" t="s">
        <v>28</v>
      </c>
      <c r="C25" t="s">
        <v>57</v>
      </c>
      <c r="D25" s="7">
        <f t="shared" ref="D25:D27" si="4">((E57/D57)^(1/15)-1)</f>
        <v>0.10600651880436751</v>
      </c>
      <c r="E25" s="7">
        <f t="shared" ref="E25:E26" si="5">((K57/J57)^(1/15)-1)</f>
        <v>0.10300308285239956</v>
      </c>
      <c r="G25" s="9"/>
      <c r="H25" s="7"/>
      <c r="I25" s="7"/>
    </row>
    <row r="26" spans="2:12">
      <c r="B26" s="22" t="s">
        <v>28</v>
      </c>
      <c r="C26" t="s">
        <v>27</v>
      </c>
      <c r="D26" s="7">
        <f t="shared" si="4"/>
        <v>0.24018869186095859</v>
      </c>
      <c r="E26" s="7">
        <f t="shared" si="5"/>
        <v>0.30424315037542593</v>
      </c>
      <c r="G26" s="9"/>
      <c r="H26" s="7"/>
      <c r="I26" s="7"/>
    </row>
    <row r="27" spans="2:12">
      <c r="B27" s="21" t="s">
        <v>56</v>
      </c>
      <c r="C27" t="s">
        <v>55</v>
      </c>
      <c r="D27" s="7">
        <f>((E60/D60)^(1/15)-1)</f>
        <v>6.009196571513753E-2</v>
      </c>
      <c r="E27" s="7">
        <f>((K60/J60)^(1/15)-1)</f>
        <v>2.2334714455911175E-2</v>
      </c>
      <c r="H27" s="7"/>
      <c r="I27" s="7"/>
    </row>
    <row r="28" spans="2:12">
      <c r="B28" s="22" t="s">
        <v>46</v>
      </c>
      <c r="C28" t="s">
        <v>63</v>
      </c>
      <c r="D28" s="7">
        <f>((E62/D62)^(1/15)-1)</f>
        <v>7.3080164305395545E-2</v>
      </c>
      <c r="E28" s="7">
        <f>((K62/J62)^(1/15)-1)</f>
        <v>7.1539348228604194E-2</v>
      </c>
      <c r="G28" s="9"/>
      <c r="H28" s="7"/>
      <c r="I28" s="7"/>
    </row>
    <row r="29" spans="2:12">
      <c r="B29" s="22" t="s">
        <v>46</v>
      </c>
      <c r="C29" t="s">
        <v>45</v>
      </c>
      <c r="D29" s="7">
        <f>((E63/D63)^(1/15)-1)</f>
        <v>0.24574892539335313</v>
      </c>
      <c r="E29" s="7">
        <f>((K63/J63)^(1/15)-1)</f>
        <v>0.28399470059511489</v>
      </c>
      <c r="H29" s="7"/>
      <c r="I29" s="7"/>
    </row>
    <row r="31" spans="2:12">
      <c r="B31" s="1" t="s">
        <v>76</v>
      </c>
      <c r="D31" s="1" t="s">
        <v>0</v>
      </c>
      <c r="H31" s="1" t="s">
        <v>77</v>
      </c>
      <c r="J31" s="1" t="s">
        <v>0</v>
      </c>
    </row>
    <row r="32" spans="2:12">
      <c r="B32" s="1" t="s">
        <v>2</v>
      </c>
      <c r="C32" s="1" t="s">
        <v>1</v>
      </c>
      <c r="D32">
        <v>2010</v>
      </c>
      <c r="E32">
        <v>2025</v>
      </c>
      <c r="F32" t="s">
        <v>75</v>
      </c>
      <c r="H32" s="1" t="s">
        <v>2</v>
      </c>
      <c r="I32" s="1" t="s">
        <v>1</v>
      </c>
      <c r="J32">
        <v>2010</v>
      </c>
      <c r="K32">
        <v>2025</v>
      </c>
      <c r="L32" t="s">
        <v>75</v>
      </c>
    </row>
    <row r="33" spans="2:12">
      <c r="B33" t="s">
        <v>61</v>
      </c>
      <c r="C33" t="s">
        <v>60</v>
      </c>
      <c r="D33" s="12">
        <v>12490</v>
      </c>
      <c r="E33" s="12">
        <v>86940</v>
      </c>
      <c r="F33" s="12">
        <v>99430</v>
      </c>
      <c r="H33" t="s">
        <v>61</v>
      </c>
      <c r="I33" t="s">
        <v>60</v>
      </c>
      <c r="J33" s="12">
        <v>1397.6</v>
      </c>
      <c r="K33" s="12">
        <v>7881.8</v>
      </c>
      <c r="L33" s="12">
        <v>9279.4</v>
      </c>
    </row>
    <row r="34" spans="2:12">
      <c r="B34" t="s">
        <v>78</v>
      </c>
      <c r="D34" s="12">
        <v>12490</v>
      </c>
      <c r="E34" s="12">
        <v>86940</v>
      </c>
      <c r="F34" s="12">
        <v>99430</v>
      </c>
      <c r="H34" t="s">
        <v>78</v>
      </c>
      <c r="J34" s="12">
        <v>1397.6</v>
      </c>
      <c r="K34" s="12">
        <v>7881.8</v>
      </c>
      <c r="L34" s="12">
        <v>9279.4</v>
      </c>
    </row>
    <row r="35" spans="2:12">
      <c r="B35" t="s">
        <v>38</v>
      </c>
      <c r="C35" t="s">
        <v>37</v>
      </c>
      <c r="D35" s="12">
        <v>14630</v>
      </c>
      <c r="E35" s="12">
        <v>67020</v>
      </c>
      <c r="F35" s="12">
        <v>81650</v>
      </c>
      <c r="H35" t="s">
        <v>38</v>
      </c>
      <c r="I35" t="s">
        <v>37</v>
      </c>
      <c r="J35" s="12">
        <v>1387.7</v>
      </c>
      <c r="K35" s="12">
        <v>5962.5</v>
      </c>
      <c r="L35" s="12">
        <v>7350.2</v>
      </c>
    </row>
    <row r="36" spans="2:12">
      <c r="C36" t="s">
        <v>50</v>
      </c>
      <c r="D36" s="12">
        <v>7960</v>
      </c>
      <c r="E36" s="12">
        <v>42400</v>
      </c>
      <c r="F36" s="12">
        <v>50360</v>
      </c>
      <c r="I36" t="s">
        <v>50</v>
      </c>
      <c r="J36" s="12">
        <v>1001.9</v>
      </c>
      <c r="K36" s="12">
        <v>6140</v>
      </c>
      <c r="L36" s="12">
        <v>7141.9</v>
      </c>
    </row>
    <row r="37" spans="2:12">
      <c r="C37" t="s">
        <v>51</v>
      </c>
      <c r="D37" s="12">
        <v>4800</v>
      </c>
      <c r="E37" s="12">
        <v>36400</v>
      </c>
      <c r="F37" s="12">
        <v>41200</v>
      </c>
      <c r="I37" t="s">
        <v>51</v>
      </c>
      <c r="J37" s="12">
        <v>241.5</v>
      </c>
      <c r="K37" s="12">
        <v>4000.9</v>
      </c>
      <c r="L37" s="12">
        <v>4242.3999999999996</v>
      </c>
    </row>
    <row r="38" spans="2:12">
      <c r="C38" t="s">
        <v>39</v>
      </c>
      <c r="D38" s="12">
        <v>9030</v>
      </c>
      <c r="E38" s="12">
        <v>103210</v>
      </c>
      <c r="F38" s="12">
        <v>112240</v>
      </c>
      <c r="I38" t="s">
        <v>39</v>
      </c>
      <c r="J38" s="12">
        <v>748.1</v>
      </c>
      <c r="K38" s="12">
        <v>14390.4</v>
      </c>
      <c r="L38" s="12">
        <v>15138.5</v>
      </c>
    </row>
    <row r="39" spans="2:12">
      <c r="C39" t="s">
        <v>66</v>
      </c>
      <c r="D39" s="12">
        <v>6630</v>
      </c>
      <c r="E39" s="12">
        <v>84270</v>
      </c>
      <c r="F39" s="12">
        <v>90900</v>
      </c>
      <c r="I39" t="s">
        <v>66</v>
      </c>
      <c r="J39" s="12">
        <v>567.9</v>
      </c>
      <c r="K39" s="12">
        <v>9115.7000000000007</v>
      </c>
      <c r="L39" s="12">
        <v>9683.6</v>
      </c>
    </row>
    <row r="40" spans="2:12">
      <c r="C40" t="s">
        <v>40</v>
      </c>
      <c r="D40" s="12">
        <v>12290</v>
      </c>
      <c r="E40" s="12">
        <v>188480</v>
      </c>
      <c r="F40" s="12">
        <v>200770</v>
      </c>
      <c r="I40" t="s">
        <v>40</v>
      </c>
      <c r="J40" s="12">
        <v>1069.5</v>
      </c>
      <c r="K40" s="12">
        <v>27986.5</v>
      </c>
      <c r="L40" s="12">
        <v>29056</v>
      </c>
    </row>
    <row r="41" spans="2:12">
      <c r="C41" t="s">
        <v>65</v>
      </c>
      <c r="D41" s="12">
        <v>7220</v>
      </c>
      <c r="E41" s="12">
        <v>92230</v>
      </c>
      <c r="F41" s="12">
        <v>99450</v>
      </c>
      <c r="I41" t="s">
        <v>65</v>
      </c>
      <c r="J41" s="12">
        <v>986.1</v>
      </c>
      <c r="K41" s="12">
        <v>11299.2</v>
      </c>
      <c r="L41" s="12">
        <v>12285.300000000001</v>
      </c>
    </row>
    <row r="42" spans="2:12">
      <c r="B42" t="s">
        <v>79</v>
      </c>
      <c r="D42" s="12">
        <v>62560</v>
      </c>
      <c r="E42" s="12">
        <v>614010</v>
      </c>
      <c r="F42" s="12">
        <v>676570</v>
      </c>
      <c r="H42" t="s">
        <v>79</v>
      </c>
      <c r="J42" s="12">
        <v>6002.7000000000007</v>
      </c>
      <c r="K42" s="12">
        <v>78895.199999999997</v>
      </c>
      <c r="L42" s="12">
        <v>84897.900000000009</v>
      </c>
    </row>
    <row r="43" spans="2:12">
      <c r="B43" t="s">
        <v>42</v>
      </c>
      <c r="C43" t="s">
        <v>44</v>
      </c>
      <c r="D43" s="12">
        <v>3230</v>
      </c>
      <c r="E43" s="12">
        <v>11880</v>
      </c>
      <c r="F43" s="12">
        <v>15110</v>
      </c>
      <c r="H43" t="s">
        <v>42</v>
      </c>
      <c r="I43" t="s">
        <v>44</v>
      </c>
      <c r="J43" s="12">
        <v>167.2</v>
      </c>
      <c r="K43" s="12">
        <v>743.6</v>
      </c>
      <c r="L43" s="12">
        <v>910.8</v>
      </c>
    </row>
    <row r="44" spans="2:12">
      <c r="C44" t="s">
        <v>41</v>
      </c>
      <c r="D44" s="12">
        <v>12030</v>
      </c>
      <c r="E44" s="12">
        <v>127990</v>
      </c>
      <c r="F44" s="12">
        <v>140020</v>
      </c>
      <c r="I44" t="s">
        <v>41</v>
      </c>
      <c r="J44" s="12">
        <v>1640.2</v>
      </c>
      <c r="K44" s="12">
        <v>6964.6</v>
      </c>
      <c r="L44" s="12">
        <v>8604.8000000000011</v>
      </c>
    </row>
    <row r="45" spans="2:12">
      <c r="C45" t="s">
        <v>54</v>
      </c>
      <c r="D45" s="12">
        <v>1970</v>
      </c>
      <c r="E45" s="12">
        <v>48440</v>
      </c>
      <c r="F45" s="12">
        <v>50410</v>
      </c>
      <c r="I45" t="s">
        <v>54</v>
      </c>
      <c r="J45" s="12">
        <v>257.7</v>
      </c>
      <c r="K45" s="12">
        <v>5317.6</v>
      </c>
      <c r="L45" s="12">
        <v>5575.3</v>
      </c>
    </row>
    <row r="46" spans="2:12">
      <c r="C46" t="s">
        <v>59</v>
      </c>
      <c r="D46" s="12">
        <v>10490</v>
      </c>
      <c r="E46" s="12">
        <v>95490</v>
      </c>
      <c r="F46" s="12">
        <v>105980</v>
      </c>
      <c r="I46" t="s">
        <v>59</v>
      </c>
      <c r="J46" s="12">
        <v>1358.4</v>
      </c>
      <c r="K46" s="12">
        <v>7879.8</v>
      </c>
      <c r="L46" s="12">
        <v>9238.2000000000007</v>
      </c>
    </row>
    <row r="47" spans="2:12">
      <c r="C47" t="s">
        <v>64</v>
      </c>
      <c r="D47" s="12">
        <v>1200</v>
      </c>
      <c r="E47" s="12">
        <v>6780</v>
      </c>
      <c r="F47" s="12">
        <v>7980</v>
      </c>
      <c r="I47" t="s">
        <v>64</v>
      </c>
      <c r="J47" s="12">
        <v>164.2</v>
      </c>
      <c r="K47" s="12">
        <v>846.9</v>
      </c>
      <c r="L47" s="12">
        <v>1011.0999999999999</v>
      </c>
    </row>
    <row r="48" spans="2:12">
      <c r="C48" t="s">
        <v>52</v>
      </c>
      <c r="D48" s="12">
        <v>14290</v>
      </c>
      <c r="E48" s="12">
        <v>120230</v>
      </c>
      <c r="F48" s="12">
        <v>134520</v>
      </c>
      <c r="I48" t="s">
        <v>52</v>
      </c>
      <c r="J48" s="12">
        <v>1417.2</v>
      </c>
      <c r="K48" s="12">
        <v>14892.2</v>
      </c>
      <c r="L48" s="12">
        <v>16309.400000000001</v>
      </c>
    </row>
    <row r="49" spans="2:12">
      <c r="C49" t="s">
        <v>53</v>
      </c>
      <c r="D49" s="12">
        <v>12530</v>
      </c>
      <c r="E49" s="12">
        <v>209030</v>
      </c>
      <c r="F49" s="12">
        <v>221560</v>
      </c>
      <c r="I49" t="s">
        <v>53</v>
      </c>
      <c r="J49" s="12">
        <v>1488.2</v>
      </c>
      <c r="K49" s="12">
        <v>26402.9</v>
      </c>
      <c r="L49" s="12">
        <v>27891.100000000002</v>
      </c>
    </row>
    <row r="50" spans="2:12">
      <c r="C50" t="s">
        <v>58</v>
      </c>
      <c r="D50" s="12">
        <v>9720</v>
      </c>
      <c r="E50" s="12">
        <v>259040.00000000003</v>
      </c>
      <c r="F50" s="12">
        <v>268760</v>
      </c>
      <c r="I50" t="s">
        <v>58</v>
      </c>
      <c r="J50" s="12">
        <v>546.5</v>
      </c>
      <c r="K50" s="12">
        <v>29877.599999999999</v>
      </c>
      <c r="L50" s="12">
        <v>30424.1</v>
      </c>
    </row>
    <row r="51" spans="2:12">
      <c r="C51" t="s">
        <v>43</v>
      </c>
      <c r="D51" s="12">
        <v>14220</v>
      </c>
      <c r="E51" s="12">
        <v>108160</v>
      </c>
      <c r="F51" s="12">
        <v>122380</v>
      </c>
      <c r="I51" t="s">
        <v>43</v>
      </c>
      <c r="J51" s="12">
        <v>1164.7</v>
      </c>
      <c r="K51" s="12">
        <v>8782.2999999999993</v>
      </c>
      <c r="L51" s="12">
        <v>9947</v>
      </c>
    </row>
    <row r="52" spans="2:12">
      <c r="B52" t="s">
        <v>80</v>
      </c>
      <c r="D52" s="12">
        <v>79680</v>
      </c>
      <c r="E52" s="12">
        <v>987040</v>
      </c>
      <c r="F52" s="12">
        <v>1066720</v>
      </c>
      <c r="H52" t="s">
        <v>80</v>
      </c>
      <c r="J52" s="12">
        <v>8204.2999999999993</v>
      </c>
      <c r="K52" s="12">
        <v>101707.50000000001</v>
      </c>
      <c r="L52" s="12">
        <v>109911.80000000002</v>
      </c>
    </row>
    <row r="53" spans="2:12">
      <c r="B53" t="s">
        <v>48</v>
      </c>
      <c r="C53" t="s">
        <v>62</v>
      </c>
      <c r="D53" s="12">
        <v>14240</v>
      </c>
      <c r="E53" s="12">
        <v>67380</v>
      </c>
      <c r="F53" s="12">
        <v>81620</v>
      </c>
      <c r="H53" t="s">
        <v>48</v>
      </c>
      <c r="I53" t="s">
        <v>62</v>
      </c>
      <c r="J53" s="12">
        <v>1614.7</v>
      </c>
      <c r="K53" s="12">
        <v>8824.7999999999993</v>
      </c>
      <c r="L53" s="12">
        <v>10439.5</v>
      </c>
    </row>
    <row r="54" spans="2:12">
      <c r="C54" t="s">
        <v>47</v>
      </c>
      <c r="D54" s="12">
        <v>5240</v>
      </c>
      <c r="E54" s="12">
        <v>22700</v>
      </c>
      <c r="F54" s="12">
        <v>27940</v>
      </c>
      <c r="I54" t="s">
        <v>47</v>
      </c>
      <c r="J54" s="12">
        <v>753.5</v>
      </c>
      <c r="K54" s="12">
        <v>2261.1</v>
      </c>
      <c r="L54" s="12">
        <v>3014.6</v>
      </c>
    </row>
    <row r="55" spans="2:12">
      <c r="B55" t="s">
        <v>81</v>
      </c>
      <c r="D55" s="12">
        <v>19480</v>
      </c>
      <c r="E55" s="12">
        <v>90080</v>
      </c>
      <c r="F55" s="12">
        <v>109560</v>
      </c>
      <c r="H55" t="s">
        <v>81</v>
      </c>
      <c r="J55" s="12">
        <v>2368.1999999999998</v>
      </c>
      <c r="K55" s="12">
        <v>11085.9</v>
      </c>
      <c r="L55" s="12">
        <v>13454.1</v>
      </c>
    </row>
    <row r="56" spans="2:12">
      <c r="B56" t="s">
        <v>28</v>
      </c>
      <c r="C56" t="s">
        <v>49</v>
      </c>
      <c r="D56" s="12">
        <v>14700</v>
      </c>
      <c r="E56" s="12">
        <v>225420</v>
      </c>
      <c r="F56" s="12">
        <v>240120</v>
      </c>
      <c r="H56" t="s">
        <v>28</v>
      </c>
      <c r="I56" t="s">
        <v>49</v>
      </c>
      <c r="J56" s="12">
        <v>814</v>
      </c>
      <c r="K56" s="12">
        <v>21692.5</v>
      </c>
      <c r="L56" s="12">
        <v>22506.5</v>
      </c>
    </row>
    <row r="57" spans="2:12">
      <c r="C57" t="s">
        <v>57</v>
      </c>
      <c r="D57" s="12">
        <v>1220</v>
      </c>
      <c r="E57" s="12">
        <v>5530</v>
      </c>
      <c r="F57" s="12">
        <v>6750</v>
      </c>
      <c r="I57" t="s">
        <v>57</v>
      </c>
      <c r="J57" s="12">
        <v>151.30000000000001</v>
      </c>
      <c r="K57" s="12">
        <v>658.4</v>
      </c>
      <c r="L57" s="12">
        <v>809.7</v>
      </c>
    </row>
    <row r="58" spans="2:12">
      <c r="C58" t="s">
        <v>27</v>
      </c>
      <c r="D58" s="12">
        <v>6240</v>
      </c>
      <c r="E58" s="12">
        <v>157580</v>
      </c>
      <c r="F58" s="12">
        <v>163820</v>
      </c>
      <c r="I58" t="s">
        <v>27</v>
      </c>
      <c r="J58" s="12">
        <v>409.6</v>
      </c>
      <c r="K58" s="12">
        <v>22016</v>
      </c>
      <c r="L58" s="12">
        <v>22425.599999999999</v>
      </c>
    </row>
    <row r="59" spans="2:12">
      <c r="B59" t="s">
        <v>82</v>
      </c>
      <c r="D59" s="12">
        <v>22160</v>
      </c>
      <c r="E59" s="12">
        <v>388530</v>
      </c>
      <c r="F59" s="12">
        <v>410690</v>
      </c>
      <c r="H59" t="s">
        <v>82</v>
      </c>
      <c r="J59" s="12">
        <v>1374.9</v>
      </c>
      <c r="K59" s="12">
        <v>44366.9</v>
      </c>
      <c r="L59" s="12">
        <v>45741.8</v>
      </c>
    </row>
    <row r="60" spans="2:12">
      <c r="B60" t="s">
        <v>56</v>
      </c>
      <c r="C60" t="s">
        <v>55</v>
      </c>
      <c r="D60" s="12">
        <v>6230</v>
      </c>
      <c r="E60" s="12">
        <v>14950</v>
      </c>
      <c r="F60" s="12">
        <v>21180</v>
      </c>
      <c r="H60" t="s">
        <v>56</v>
      </c>
      <c r="I60" t="s">
        <v>55</v>
      </c>
      <c r="J60" s="12">
        <v>894.8</v>
      </c>
      <c r="K60" s="12">
        <v>1246.3</v>
      </c>
      <c r="L60" s="12">
        <v>2141.1</v>
      </c>
    </row>
    <row r="61" spans="2:12">
      <c r="B61" t="s">
        <v>83</v>
      </c>
      <c r="D61" s="12">
        <v>6230</v>
      </c>
      <c r="E61" s="12">
        <v>14950</v>
      </c>
      <c r="F61" s="12">
        <v>21180</v>
      </c>
      <c r="H61" t="s">
        <v>83</v>
      </c>
      <c r="J61" s="12">
        <v>894.8</v>
      </c>
      <c r="K61" s="12">
        <v>1246.3</v>
      </c>
      <c r="L61" s="12">
        <v>2141.1</v>
      </c>
    </row>
    <row r="62" spans="2:12">
      <c r="B62" t="s">
        <v>46</v>
      </c>
      <c r="C62" t="s">
        <v>63</v>
      </c>
      <c r="D62" s="12">
        <v>1340</v>
      </c>
      <c r="E62" s="12">
        <v>3860</v>
      </c>
      <c r="F62" s="12">
        <v>5200</v>
      </c>
      <c r="H62" t="s">
        <v>46</v>
      </c>
      <c r="I62" t="s">
        <v>63</v>
      </c>
      <c r="J62" s="12">
        <v>128.30000000000001</v>
      </c>
      <c r="K62" s="12">
        <v>361.7</v>
      </c>
      <c r="L62" s="12">
        <v>490</v>
      </c>
    </row>
    <row r="63" spans="2:12">
      <c r="C63" t="s">
        <v>45</v>
      </c>
      <c r="D63" s="12">
        <v>10260</v>
      </c>
      <c r="E63" s="12">
        <v>277080</v>
      </c>
      <c r="F63" s="12">
        <v>287340</v>
      </c>
      <c r="I63" t="s">
        <v>45</v>
      </c>
      <c r="J63" s="12">
        <v>763.7</v>
      </c>
      <c r="K63" s="12">
        <v>32461.7</v>
      </c>
      <c r="L63" s="12">
        <v>33225.4</v>
      </c>
    </row>
    <row r="64" spans="2:12">
      <c r="B64" t="s">
        <v>84</v>
      </c>
      <c r="D64" s="12">
        <v>11600</v>
      </c>
      <c r="E64" s="12">
        <v>280940</v>
      </c>
      <c r="F64" s="12">
        <v>292540</v>
      </c>
      <c r="H64" t="s">
        <v>84</v>
      </c>
      <c r="J64" s="12">
        <v>892</v>
      </c>
      <c r="K64" s="12">
        <v>32823.4</v>
      </c>
      <c r="L64" s="12">
        <v>33715.4</v>
      </c>
    </row>
    <row r="65" spans="2:12">
      <c r="B65" t="s">
        <v>75</v>
      </c>
      <c r="D65" s="12">
        <v>214200</v>
      </c>
      <c r="E65" s="12">
        <v>2462490</v>
      </c>
      <c r="F65" s="12">
        <v>2676690</v>
      </c>
      <c r="H65" t="s">
        <v>75</v>
      </c>
      <c r="J65" s="12">
        <v>21134.5</v>
      </c>
      <c r="K65" s="12">
        <v>278007</v>
      </c>
      <c r="L65" s="12">
        <v>299141.50000000006</v>
      </c>
    </row>
    <row r="66" spans="2:12">
      <c r="B66" s="8"/>
    </row>
    <row r="67" spans="2:12" ht="30.75">
      <c r="B67" s="18" t="s">
        <v>85</v>
      </c>
    </row>
    <row r="68" spans="2:12">
      <c r="B68" s="8"/>
    </row>
    <row r="69" spans="2:12">
      <c r="B69" s="1" t="s">
        <v>10</v>
      </c>
      <c r="C69" t="s">
        <v>76</v>
      </c>
    </row>
    <row r="70" spans="2:12">
      <c r="B70" t="s">
        <v>32</v>
      </c>
      <c r="C70" s="12">
        <v>3892170</v>
      </c>
    </row>
    <row r="71" spans="2:12">
      <c r="B71" t="s">
        <v>30</v>
      </c>
      <c r="C71" s="12">
        <v>5749920</v>
      </c>
    </row>
    <row r="72" spans="2:12">
      <c r="B72" t="s">
        <v>36</v>
      </c>
      <c r="C72" s="12">
        <v>5170580</v>
      </c>
    </row>
    <row r="73" spans="2:12">
      <c r="B73" t="s">
        <v>75</v>
      </c>
      <c r="C73" s="12">
        <v>14812670</v>
      </c>
    </row>
    <row r="76" spans="2:12">
      <c r="B76" s="3" t="s">
        <v>86</v>
      </c>
    </row>
    <row r="77" spans="2:12">
      <c r="B77" s="1" t="s">
        <v>76</v>
      </c>
      <c r="C77" s="1" t="s">
        <v>2</v>
      </c>
    </row>
    <row r="78" spans="2:12">
      <c r="B78" s="1" t="s">
        <v>9</v>
      </c>
      <c r="C78" t="s">
        <v>61</v>
      </c>
      <c r="D78" t="s">
        <v>38</v>
      </c>
      <c r="E78" t="s">
        <v>42</v>
      </c>
      <c r="F78" t="s">
        <v>48</v>
      </c>
      <c r="G78" t="s">
        <v>28</v>
      </c>
      <c r="H78" t="s">
        <v>56</v>
      </c>
      <c r="I78" t="s">
        <v>46</v>
      </c>
      <c r="J78" t="s">
        <v>75</v>
      </c>
    </row>
    <row r="79" spans="2:12">
      <c r="B79" t="s">
        <v>35</v>
      </c>
      <c r="C79" s="12">
        <v>106030</v>
      </c>
      <c r="D79" s="12">
        <v>468370</v>
      </c>
      <c r="E79" s="12">
        <v>1342510</v>
      </c>
      <c r="F79" s="12">
        <v>207630</v>
      </c>
      <c r="G79" s="12">
        <v>328120</v>
      </c>
      <c r="H79" s="12">
        <v>44470</v>
      </c>
      <c r="I79" s="12">
        <v>82570</v>
      </c>
      <c r="J79" s="12">
        <v>2579700</v>
      </c>
    </row>
    <row r="80" spans="2:12">
      <c r="B80" t="s">
        <v>33</v>
      </c>
      <c r="C80" s="12">
        <v>66050</v>
      </c>
      <c r="D80" s="12">
        <v>733530</v>
      </c>
      <c r="E80" s="12">
        <v>1281420</v>
      </c>
      <c r="F80" s="12">
        <v>108710</v>
      </c>
      <c r="G80" s="12">
        <v>309290</v>
      </c>
      <c r="H80" s="12">
        <v>39100</v>
      </c>
      <c r="I80" s="12">
        <v>5630</v>
      </c>
      <c r="J80" s="12">
        <v>2543730</v>
      </c>
    </row>
    <row r="81" spans="2:10">
      <c r="B81" t="s">
        <v>34</v>
      </c>
      <c r="C81" s="12">
        <v>20950</v>
      </c>
      <c r="D81" s="12">
        <v>814180</v>
      </c>
      <c r="E81" s="12">
        <v>1314520</v>
      </c>
      <c r="F81" s="12">
        <v>216890</v>
      </c>
      <c r="G81" s="12">
        <v>170700</v>
      </c>
      <c r="H81" s="12">
        <v>41210</v>
      </c>
      <c r="I81" s="12">
        <v>475810</v>
      </c>
      <c r="J81" s="12">
        <v>3054260</v>
      </c>
    </row>
    <row r="82" spans="2:10">
      <c r="B82" t="s">
        <v>31</v>
      </c>
      <c r="C82" s="12">
        <v>340420</v>
      </c>
      <c r="D82" s="12">
        <v>841710</v>
      </c>
      <c r="E82" s="12">
        <v>1114660</v>
      </c>
      <c r="F82" s="12">
        <v>176680</v>
      </c>
      <c r="G82" s="12">
        <v>866740</v>
      </c>
      <c r="H82" s="12">
        <v>14100</v>
      </c>
      <c r="I82" s="12">
        <v>643440</v>
      </c>
      <c r="J82" s="12">
        <v>3997750</v>
      </c>
    </row>
    <row r="83" spans="2:10">
      <c r="B83" t="s">
        <v>29</v>
      </c>
      <c r="C83" s="12">
        <v>92560</v>
      </c>
      <c r="D83" s="12">
        <v>1053440</v>
      </c>
      <c r="E83" s="12">
        <v>799160</v>
      </c>
      <c r="F83" s="12">
        <v>37070</v>
      </c>
      <c r="G83" s="12">
        <v>440040</v>
      </c>
      <c r="H83" s="12">
        <v>21170</v>
      </c>
      <c r="I83" s="12">
        <v>193790</v>
      </c>
      <c r="J83" s="12">
        <v>2637230</v>
      </c>
    </row>
    <row r="84" spans="2:10">
      <c r="B84" t="s">
        <v>75</v>
      </c>
      <c r="C84" s="12">
        <v>626010</v>
      </c>
      <c r="D84" s="12">
        <v>3911230</v>
      </c>
      <c r="E84" s="12">
        <v>5852270</v>
      </c>
      <c r="F84" s="12">
        <v>746980</v>
      </c>
      <c r="G84" s="12">
        <v>2114890</v>
      </c>
      <c r="H84" s="12">
        <v>160050</v>
      </c>
      <c r="I84" s="12">
        <v>1401240</v>
      </c>
      <c r="J84" s="12">
        <v>14812670</v>
      </c>
    </row>
    <row r="86" spans="2:10">
      <c r="B86" s="3" t="s">
        <v>87</v>
      </c>
      <c r="E86" s="19" t="s">
        <v>88</v>
      </c>
    </row>
    <row r="87" spans="2:10" ht="45.75">
      <c r="B87" s="1" t="s">
        <v>1</v>
      </c>
      <c r="C87" s="5" t="s">
        <v>89</v>
      </c>
      <c r="E87" s="1" t="s">
        <v>0</v>
      </c>
      <c r="F87" s="5" t="s">
        <v>90</v>
      </c>
    </row>
    <row r="88" spans="2:10">
      <c r="B88" t="s">
        <v>63</v>
      </c>
      <c r="C88" s="12">
        <v>92.06874999999998</v>
      </c>
      <c r="E88">
        <v>2010</v>
      </c>
      <c r="F88" s="11">
        <v>9.5320000000000002E-2</v>
      </c>
    </row>
    <row r="89" spans="2:10">
      <c r="B89" t="s">
        <v>55</v>
      </c>
      <c r="C89" s="12">
        <v>83.475000000000009</v>
      </c>
      <c r="E89">
        <v>2011</v>
      </c>
      <c r="F89" s="11">
        <v>0.11408000000000001</v>
      </c>
    </row>
    <row r="90" spans="2:10">
      <c r="B90" t="s">
        <v>45</v>
      </c>
      <c r="C90" s="12">
        <v>98.287500000000009</v>
      </c>
      <c r="E90">
        <v>2012</v>
      </c>
      <c r="F90" s="11">
        <v>0.1336</v>
      </c>
    </row>
    <row r="91" spans="2:10">
      <c r="B91" t="s">
        <v>49</v>
      </c>
      <c r="C91" s="12">
        <v>101.49375000000001</v>
      </c>
      <c r="E91">
        <v>2013</v>
      </c>
      <c r="F91" s="11">
        <v>0.14923999999999998</v>
      </c>
    </row>
    <row r="92" spans="2:10">
      <c r="B92" t="s">
        <v>37</v>
      </c>
      <c r="C92" s="12">
        <v>86.625000000000014</v>
      </c>
      <c r="E92">
        <v>2014</v>
      </c>
      <c r="F92" s="11">
        <v>0.16675999999999999</v>
      </c>
    </row>
    <row r="93" spans="2:10">
      <c r="B93" t="s">
        <v>44</v>
      </c>
      <c r="C93" s="12">
        <v>102.2</v>
      </c>
      <c r="E93">
        <v>2015</v>
      </c>
      <c r="F93" s="11">
        <v>0.18228000000000003</v>
      </c>
    </row>
    <row r="94" spans="2:10">
      <c r="B94" t="s">
        <v>41</v>
      </c>
      <c r="C94" s="12">
        <v>95.449999999999989</v>
      </c>
      <c r="E94">
        <v>2016</v>
      </c>
      <c r="F94" s="11">
        <v>0.20104</v>
      </c>
    </row>
    <row r="95" spans="2:10">
      <c r="B95" t="s">
        <v>50</v>
      </c>
      <c r="C95" s="12">
        <v>80.887499999999989</v>
      </c>
      <c r="E95">
        <v>2017</v>
      </c>
      <c r="F95" s="11">
        <v>0.21075999999999995</v>
      </c>
    </row>
    <row r="96" spans="2:10">
      <c r="B96" t="s">
        <v>51</v>
      </c>
      <c r="C96" s="12">
        <v>80.718749999999986</v>
      </c>
      <c r="E96">
        <v>2018</v>
      </c>
      <c r="F96" s="11">
        <v>0.23239999999999994</v>
      </c>
    </row>
    <row r="97" spans="2:9">
      <c r="B97" t="s">
        <v>54</v>
      </c>
      <c r="C97" s="12">
        <v>84.131250000000009</v>
      </c>
      <c r="E97">
        <v>2019</v>
      </c>
      <c r="F97" s="11">
        <v>0.25531999999999999</v>
      </c>
    </row>
    <row r="98" spans="2:9">
      <c r="B98" t="s">
        <v>39</v>
      </c>
      <c r="C98" s="12">
        <v>95.356249999999974</v>
      </c>
      <c r="E98">
        <v>2020</v>
      </c>
      <c r="F98" s="11">
        <v>0.26775999999999994</v>
      </c>
    </row>
    <row r="99" spans="2:9">
      <c r="B99" t="s">
        <v>57</v>
      </c>
      <c r="C99" s="12">
        <v>101.45625</v>
      </c>
      <c r="E99">
        <v>2021</v>
      </c>
      <c r="F99" s="11">
        <v>0.28183999999999998</v>
      </c>
    </row>
    <row r="100" spans="2:9">
      <c r="B100" t="s">
        <v>59</v>
      </c>
      <c r="C100" s="12">
        <v>67.881249999999994</v>
      </c>
      <c r="E100">
        <v>2022</v>
      </c>
      <c r="F100" s="11">
        <v>0.29919999999999997</v>
      </c>
    </row>
    <row r="101" spans="2:9">
      <c r="B101" t="s">
        <v>64</v>
      </c>
      <c r="C101" s="12">
        <v>100.73749999999998</v>
      </c>
      <c r="E101">
        <v>2023</v>
      </c>
      <c r="F101" s="11">
        <v>0.31123999999999996</v>
      </c>
    </row>
    <row r="102" spans="2:9">
      <c r="B102" t="s">
        <v>52</v>
      </c>
      <c r="C102" s="12">
        <v>79.756249999999994</v>
      </c>
      <c r="E102">
        <v>2024</v>
      </c>
      <c r="F102" s="11">
        <v>0.33632000000000006</v>
      </c>
    </row>
    <row r="103" spans="2:9">
      <c r="B103" t="s">
        <v>62</v>
      </c>
      <c r="C103" s="12">
        <v>95.274999999999991</v>
      </c>
      <c r="E103">
        <v>2025</v>
      </c>
      <c r="F103" s="11">
        <v>0.35571999999999987</v>
      </c>
      <c r="H103" s="6"/>
      <c r="I103" s="2"/>
    </row>
    <row r="104" spans="2:9">
      <c r="B104" t="s">
        <v>66</v>
      </c>
      <c r="C104" s="12">
        <v>93.931249999999991</v>
      </c>
      <c r="E104" t="s">
        <v>75</v>
      </c>
      <c r="F104" s="11">
        <v>0.22455499999999998</v>
      </c>
      <c r="H104" s="6"/>
      <c r="I104" s="2"/>
    </row>
    <row r="105" spans="2:9">
      <c r="B105" t="s">
        <v>60</v>
      </c>
      <c r="C105" s="12">
        <v>90.956249999999997</v>
      </c>
      <c r="H105" s="6"/>
      <c r="I105" s="2"/>
    </row>
    <row r="106" spans="2:9">
      <c r="B106" t="s">
        <v>40</v>
      </c>
      <c r="C106" s="12">
        <v>80.518749999999997</v>
      </c>
      <c r="H106" s="6"/>
      <c r="I106" s="2"/>
    </row>
    <row r="107" spans="2:9">
      <c r="B107" t="s">
        <v>53</v>
      </c>
      <c r="C107" s="12">
        <v>97.424999999999983</v>
      </c>
      <c r="H107" s="6"/>
      <c r="I107" s="2"/>
    </row>
    <row r="108" spans="2:9">
      <c r="B108" t="s">
        <v>58</v>
      </c>
      <c r="C108" s="12">
        <v>89.668750000000003</v>
      </c>
      <c r="H108" s="6"/>
      <c r="I108" s="2"/>
    </row>
    <row r="109" spans="2:9">
      <c r="B109" t="s">
        <v>65</v>
      </c>
      <c r="C109" s="12">
        <v>111.55000000000001</v>
      </c>
      <c r="H109" s="6"/>
      <c r="I109" s="2"/>
    </row>
    <row r="110" spans="2:9">
      <c r="B110" t="s">
        <v>47</v>
      </c>
      <c r="C110" s="12">
        <v>98.006249999999994</v>
      </c>
    </row>
    <row r="111" spans="2:9">
      <c r="B111" t="s">
        <v>43</v>
      </c>
      <c r="C111" s="12">
        <v>98.043750000000003</v>
      </c>
    </row>
    <row r="112" spans="2:9">
      <c r="B112" t="s">
        <v>27</v>
      </c>
      <c r="C112" s="12">
        <v>86.612499999999997</v>
      </c>
    </row>
    <row r="113" spans="2:6">
      <c r="B113" t="s">
        <v>75</v>
      </c>
      <c r="C113" s="12">
        <v>91.700500000000005</v>
      </c>
    </row>
    <row r="117" spans="2:6" ht="18">
      <c r="B117" s="10" t="s">
        <v>91</v>
      </c>
    </row>
    <row r="118" spans="2:6">
      <c r="B118" s="3" t="s">
        <v>92</v>
      </c>
      <c r="F118" s="19" t="s">
        <v>93</v>
      </c>
    </row>
    <row r="120" spans="2:6" ht="18">
      <c r="B120" s="10" t="s">
        <v>94</v>
      </c>
    </row>
    <row r="121" spans="2:6" ht="45.75">
      <c r="B121" s="5" t="s">
        <v>95</v>
      </c>
    </row>
    <row r="122" spans="2:6" ht="62.25">
      <c r="B122" s="5" t="s">
        <v>96</v>
      </c>
    </row>
    <row r="123" spans="2:6" ht="18">
      <c r="B123" s="10" t="s">
        <v>97</v>
      </c>
    </row>
    <row r="124" spans="2:6" ht="62.25">
      <c r="B124" s="5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888F-31C6-40FF-8748-04387A35DB67}">
  <dimension ref="A1:W100"/>
  <sheetViews>
    <sheetView showGridLines="0" showRowColHeaders="0" tabSelected="1" workbookViewId="0">
      <selection activeCell="C52" sqref="C52"/>
    </sheetView>
  </sheetViews>
  <sheetFormatPr defaultRowHeight="15"/>
  <cols>
    <col min="1" max="1" width="28.5703125" style="23" customWidth="1"/>
    <col min="2" max="2" width="21.140625" customWidth="1"/>
    <col min="21" max="21" width="10.7109375" hidden="1" customWidth="1"/>
    <col min="22" max="22" width="14.42578125" hidden="1" customWidth="1"/>
    <col min="23" max="23" width="15.42578125" hidden="1" customWidth="1"/>
  </cols>
  <sheetData>
    <row r="1" spans="1:23" s="27" customFormat="1">
      <c r="A1" s="26"/>
      <c r="U1" s="27" t="s">
        <v>1</v>
      </c>
      <c r="V1" s="27" t="s">
        <v>99</v>
      </c>
    </row>
    <row r="2" spans="1:23" s="27" customFormat="1">
      <c r="A2" s="26"/>
    </row>
    <row r="3" spans="1:23" s="27" customFormat="1">
      <c r="A3" s="26"/>
      <c r="U3" s="27" t="s">
        <v>0</v>
      </c>
      <c r="V3" s="27" t="s">
        <v>100</v>
      </c>
      <c r="W3" s="27" t="s">
        <v>101</v>
      </c>
    </row>
    <row r="4" spans="1:23" s="27" customFormat="1">
      <c r="A4" s="26"/>
      <c r="U4" s="27">
        <v>2010</v>
      </c>
      <c r="V4" s="28">
        <v>21134.5</v>
      </c>
      <c r="W4" s="28">
        <v>214200</v>
      </c>
    </row>
    <row r="5" spans="1:23" s="24" customFormat="1">
      <c r="A5" s="23"/>
      <c r="U5" s="24">
        <v>2011</v>
      </c>
      <c r="V5" s="25">
        <v>25080.3</v>
      </c>
      <c r="W5" s="25">
        <v>249170</v>
      </c>
    </row>
    <row r="6" spans="1:23" s="24" customFormat="1">
      <c r="A6" s="23"/>
      <c r="U6" s="24">
        <v>2012</v>
      </c>
      <c r="V6" s="25">
        <v>24551.500000000007</v>
      </c>
      <c r="W6" s="25">
        <v>290400</v>
      </c>
    </row>
    <row r="7" spans="1:23" s="24" customFormat="1">
      <c r="A7" s="23"/>
      <c r="U7" s="24">
        <v>2013</v>
      </c>
      <c r="V7" s="25">
        <v>34951.699999999997</v>
      </c>
      <c r="W7" s="25">
        <v>339020</v>
      </c>
    </row>
    <row r="8" spans="1:23" s="24" customFormat="1">
      <c r="A8" s="23"/>
      <c r="U8" s="24">
        <v>2014</v>
      </c>
      <c r="V8" s="25">
        <v>41072.400000000001</v>
      </c>
      <c r="W8" s="25">
        <v>396420</v>
      </c>
    </row>
    <row r="9" spans="1:23" s="24" customFormat="1">
      <c r="A9" s="23"/>
      <c r="U9" s="24">
        <v>2015</v>
      </c>
      <c r="V9" s="25">
        <v>44970.499999999993</v>
      </c>
      <c r="W9" s="25">
        <v>464330</v>
      </c>
    </row>
    <row r="10" spans="1:23" s="24" customFormat="1">
      <c r="A10" s="23"/>
      <c r="U10" s="24">
        <v>2016</v>
      </c>
      <c r="V10" s="25">
        <v>53380.900000000016</v>
      </c>
      <c r="W10" s="25">
        <v>544700</v>
      </c>
    </row>
    <row r="11" spans="1:23" s="24" customFormat="1">
      <c r="A11" s="23"/>
      <c r="U11" s="24">
        <v>2017</v>
      </c>
      <c r="V11" s="25">
        <v>54950.400000000001</v>
      </c>
      <c r="W11" s="25">
        <v>640110</v>
      </c>
    </row>
    <row r="12" spans="1:23" s="24" customFormat="1">
      <c r="A12" s="23"/>
      <c r="U12" s="24">
        <v>2018</v>
      </c>
      <c r="V12" s="25">
        <v>78699.200000000012</v>
      </c>
      <c r="W12" s="25">
        <v>753410</v>
      </c>
    </row>
    <row r="13" spans="1:23" s="24" customFormat="1">
      <c r="A13" s="23"/>
      <c r="U13" s="24">
        <v>2019</v>
      </c>
      <c r="V13" s="25">
        <v>96484.6</v>
      </c>
      <c r="W13" s="25">
        <v>888190</v>
      </c>
    </row>
    <row r="14" spans="1:23" s="24" customFormat="1">
      <c r="A14" s="23"/>
      <c r="U14" s="24">
        <v>2020</v>
      </c>
      <c r="V14" s="25">
        <v>103929.79999999999</v>
      </c>
      <c r="W14" s="25">
        <v>1048740</v>
      </c>
    </row>
    <row r="15" spans="1:23" s="24" customFormat="1">
      <c r="A15" s="23"/>
      <c r="U15" s="24">
        <v>2021</v>
      </c>
      <c r="V15" s="25">
        <v>128319.7</v>
      </c>
      <c r="W15" s="25">
        <v>1240210</v>
      </c>
    </row>
    <row r="16" spans="1:23" s="24" customFormat="1">
      <c r="A16" s="23"/>
      <c r="U16" s="24">
        <v>2022</v>
      </c>
      <c r="V16" s="25">
        <v>145012.4</v>
      </c>
      <c r="W16" s="25">
        <v>1468940</v>
      </c>
    </row>
    <row r="17" spans="1:23" s="24" customFormat="1">
      <c r="A17" s="23"/>
      <c r="U17" s="24">
        <v>2023</v>
      </c>
      <c r="V17" s="25">
        <v>160148.59999999998</v>
      </c>
      <c r="W17" s="25">
        <v>1742420</v>
      </c>
    </row>
    <row r="18" spans="1:23" s="24" customFormat="1">
      <c r="A18" s="23"/>
      <c r="U18" s="24">
        <v>2024</v>
      </c>
      <c r="V18" s="25">
        <v>228465.6</v>
      </c>
      <c r="W18" s="25">
        <v>2069920</v>
      </c>
    </row>
    <row r="19" spans="1:23" s="24" customFormat="1">
      <c r="A19" s="23"/>
      <c r="U19" s="24">
        <v>2025</v>
      </c>
      <c r="V19" s="25">
        <v>278007</v>
      </c>
      <c r="W19" s="25">
        <v>2462490</v>
      </c>
    </row>
    <row r="20" spans="1:23" s="24" customFormat="1">
      <c r="A20" s="23"/>
      <c r="U20" s="24" t="s">
        <v>75</v>
      </c>
      <c r="V20" s="25">
        <v>1519159.1</v>
      </c>
      <c r="W20" s="25">
        <v>14812670</v>
      </c>
    </row>
    <row r="21" spans="1:23" s="24" customFormat="1">
      <c r="A21" s="23"/>
    </row>
    <row r="22" spans="1:23" s="24" customFormat="1">
      <c r="A22" s="23"/>
    </row>
    <row r="23" spans="1:23" s="24" customFormat="1">
      <c r="A23" s="23"/>
    </row>
    <row r="24" spans="1:23" s="24" customFormat="1">
      <c r="A24" s="23"/>
    </row>
    <row r="25" spans="1:23" s="24" customFormat="1">
      <c r="A25" s="23"/>
    </row>
    <row r="26" spans="1:23" s="24" customFormat="1">
      <c r="A26" s="23"/>
    </row>
    <row r="27" spans="1:23" s="24" customFormat="1">
      <c r="A27" s="23"/>
    </row>
    <row r="28" spans="1:23" s="24" customFormat="1">
      <c r="A28" s="23"/>
    </row>
    <row r="29" spans="1:23" s="24" customFormat="1">
      <c r="A29" s="23"/>
    </row>
    <row r="30" spans="1:23" s="24" customFormat="1">
      <c r="A30" s="23"/>
    </row>
    <row r="31" spans="1:23" s="24" customFormat="1">
      <c r="A31" s="23"/>
    </row>
    <row r="32" spans="1:23" s="24" customFormat="1">
      <c r="A32" s="23"/>
    </row>
    <row r="33" spans="1:1" s="24" customFormat="1">
      <c r="A33" s="23"/>
    </row>
    <row r="34" spans="1:1" s="24" customFormat="1">
      <c r="A34" s="23"/>
    </row>
    <row r="35" spans="1:1" s="24" customFormat="1">
      <c r="A35" s="23"/>
    </row>
    <row r="36" spans="1:1" s="24" customFormat="1">
      <c r="A36" s="23"/>
    </row>
    <row r="37" spans="1:1" s="24" customFormat="1">
      <c r="A37" s="23"/>
    </row>
    <row r="38" spans="1:1" s="24" customFormat="1">
      <c r="A38" s="23"/>
    </row>
    <row r="39" spans="1:1" s="24" customFormat="1">
      <c r="A39" s="23"/>
    </row>
    <row r="40" spans="1:1" s="24" customFormat="1">
      <c r="A40" s="23"/>
    </row>
    <row r="41" spans="1:1" s="24" customFormat="1">
      <c r="A41" s="23"/>
    </row>
    <row r="42" spans="1:1" s="24" customFormat="1">
      <c r="A42" s="23"/>
    </row>
    <row r="43" spans="1:1" s="24" customFormat="1">
      <c r="A43" s="23"/>
    </row>
    <row r="44" spans="1:1" s="24" customFormat="1">
      <c r="A44" s="23"/>
    </row>
    <row r="45" spans="1:1" s="24" customFormat="1">
      <c r="A45" s="23"/>
    </row>
    <row r="46" spans="1:1" s="24" customFormat="1">
      <c r="A46" s="23"/>
    </row>
    <row r="47" spans="1:1" s="24" customFormat="1">
      <c r="A47" s="23"/>
    </row>
    <row r="48" spans="1:1" s="24" customFormat="1">
      <c r="A48" s="23"/>
    </row>
    <row r="49" spans="1:1" s="24" customFormat="1">
      <c r="A49" s="23"/>
    </row>
    <row r="50" spans="1:1" s="24" customFormat="1">
      <c r="A50" s="23"/>
    </row>
    <row r="51" spans="1:1" s="24" customFormat="1">
      <c r="A51" s="23"/>
    </row>
    <row r="52" spans="1:1" s="24" customFormat="1">
      <c r="A52" s="23"/>
    </row>
    <row r="53" spans="1:1" s="24" customFormat="1">
      <c r="A53" s="23"/>
    </row>
    <row r="54" spans="1:1" s="24" customFormat="1">
      <c r="A54" s="23"/>
    </row>
    <row r="55" spans="1:1" s="24" customFormat="1">
      <c r="A55" s="23"/>
    </row>
    <row r="56" spans="1:1" s="24" customFormat="1">
      <c r="A56" s="23"/>
    </row>
    <row r="57" spans="1:1" s="24" customFormat="1">
      <c r="A57" s="23"/>
    </row>
    <row r="58" spans="1:1" s="24" customFormat="1">
      <c r="A58" s="23"/>
    </row>
    <row r="59" spans="1:1" s="24" customFormat="1">
      <c r="A59" s="23"/>
    </row>
    <row r="60" spans="1:1" s="24" customFormat="1">
      <c r="A60" s="23"/>
    </row>
    <row r="61" spans="1:1" s="24" customFormat="1">
      <c r="A61" s="23"/>
    </row>
    <row r="62" spans="1:1" s="24" customFormat="1">
      <c r="A62" s="23"/>
    </row>
    <row r="63" spans="1:1" s="24" customFormat="1">
      <c r="A63" s="23"/>
    </row>
    <row r="64" spans="1:1" s="24" customFormat="1">
      <c r="A64" s="23"/>
    </row>
    <row r="65" spans="1:1" s="24" customFormat="1">
      <c r="A65" s="23"/>
    </row>
    <row r="66" spans="1:1" s="24" customFormat="1">
      <c r="A66" s="23"/>
    </row>
    <row r="67" spans="1:1" s="24" customFormat="1">
      <c r="A67" s="23"/>
    </row>
    <row r="68" spans="1:1" s="24" customFormat="1">
      <c r="A68" s="23"/>
    </row>
    <row r="69" spans="1:1" s="24" customFormat="1">
      <c r="A69" s="23"/>
    </row>
    <row r="70" spans="1:1" s="24" customFormat="1">
      <c r="A70" s="23"/>
    </row>
    <row r="71" spans="1:1" s="24" customFormat="1">
      <c r="A71" s="23"/>
    </row>
    <row r="72" spans="1:1" s="24" customFormat="1">
      <c r="A72" s="23"/>
    </row>
    <row r="73" spans="1:1" s="24" customFormat="1">
      <c r="A73" s="23"/>
    </row>
    <row r="74" spans="1:1" s="24" customFormat="1">
      <c r="A74" s="23"/>
    </row>
    <row r="75" spans="1:1" s="24" customFormat="1">
      <c r="A75" s="23"/>
    </row>
    <row r="76" spans="1:1" s="24" customFormat="1">
      <c r="A76" s="23"/>
    </row>
    <row r="77" spans="1:1" s="24" customFormat="1">
      <c r="A77" s="23"/>
    </row>
    <row r="78" spans="1:1" s="24" customFormat="1">
      <c r="A78" s="23"/>
    </row>
    <row r="79" spans="1:1" s="24" customFormat="1">
      <c r="A79" s="23"/>
    </row>
    <row r="80" spans="1:1" s="24" customFormat="1">
      <c r="A80" s="23"/>
    </row>
    <row r="81" spans="1:1" s="24" customFormat="1">
      <c r="A81" s="23"/>
    </row>
    <row r="82" spans="1:1" s="24" customFormat="1">
      <c r="A82" s="23"/>
    </row>
    <row r="83" spans="1:1" s="24" customFormat="1">
      <c r="A83" s="23"/>
    </row>
    <row r="84" spans="1:1" s="24" customFormat="1">
      <c r="A84" s="23"/>
    </row>
    <row r="85" spans="1:1" s="24" customFormat="1">
      <c r="A85" s="23"/>
    </row>
    <row r="86" spans="1:1" s="24" customFormat="1">
      <c r="A86" s="23"/>
    </row>
    <row r="87" spans="1:1" s="24" customFormat="1">
      <c r="A87" s="23"/>
    </row>
    <row r="88" spans="1:1" s="24" customFormat="1">
      <c r="A88" s="23"/>
    </row>
    <row r="89" spans="1:1" s="24" customFormat="1">
      <c r="A89" s="23"/>
    </row>
    <row r="90" spans="1:1" s="24" customFormat="1">
      <c r="A90" s="23"/>
    </row>
    <row r="91" spans="1:1" s="24" customFormat="1">
      <c r="A91" s="23"/>
    </row>
    <row r="92" spans="1:1" s="24" customFormat="1">
      <c r="A92" s="23"/>
    </row>
    <row r="93" spans="1:1" s="24" customFormat="1">
      <c r="A93" s="23"/>
    </row>
    <row r="94" spans="1:1" s="24" customFormat="1">
      <c r="A94" s="23"/>
    </row>
    <row r="95" spans="1:1" s="24" customFormat="1">
      <c r="A95" s="23"/>
    </row>
    <row r="96" spans="1:1" s="24" customFormat="1">
      <c r="A96" s="23"/>
    </row>
    <row r="97" spans="1:1" s="24" customFormat="1">
      <c r="A97" s="23"/>
    </row>
    <row r="98" spans="1:1" s="24" customFormat="1">
      <c r="A98" s="23"/>
    </row>
    <row r="99" spans="1:1" s="24" customFormat="1">
      <c r="A99" s="23"/>
    </row>
    <row r="100" spans="1:1" s="24" customFormat="1">
      <c r="A100" s="2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Cindy Yanaze Futimoto</cp:lastModifiedBy>
  <cp:revision/>
  <dcterms:created xsi:type="dcterms:W3CDTF">2026-01-08T15:37:05Z</dcterms:created>
  <dcterms:modified xsi:type="dcterms:W3CDTF">2026-01-10T00:44:18Z</dcterms:modified>
  <cp:category/>
  <cp:contentStatus/>
</cp:coreProperties>
</file>